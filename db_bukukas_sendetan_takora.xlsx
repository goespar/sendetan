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sers" sheetId="1" r:id="rId5"/>
    <sheet state="visible" name="Dashboard_Summary" sheetId="2" r:id="rId6"/>
    <sheet state="visible" name="KasUmum" sheetId="3" r:id="rId7"/>
    <sheet state="visible" name="Sangkep" sheetId="4" r:id="rId8"/>
    <sheet state="visible" name="Anggota" sheetId="5" r:id="rId9"/>
    <sheet state="visible" name="MASTER_ANGGOTA" sheetId="6" r:id="rId10"/>
    <sheet state="visible" name="SaldoAwal" sheetId="7" r:id="rId11"/>
    <sheet state="visible" name="PengeluaranIuran" sheetId="8" r:id="rId12"/>
    <sheet state="visible" name="IuranPeriode" sheetId="9" r:id="rId13"/>
    <sheet state="visible" name="TRANSAKSI_IURAN" sheetId="10" r:id="rId14"/>
    <sheet state="visible" name="Sesari" sheetId="11" r:id="rId15"/>
    <sheet state="visible" name="Sukaduka" sheetId="12" r:id="rId16"/>
    <sheet state="visible" name="Punia" sheetId="13" r:id="rId17"/>
    <sheet state="visible" name="Piodalan" sheetId="14" r:id="rId18"/>
    <sheet state="visible" name="Aset" sheetId="15" r:id="rId19"/>
    <sheet state="visible" name="KegiatanMedia" sheetId="16" r:id="rId20"/>
    <sheet state="visible" name="InventarisLog" sheetId="17" r:id="rId21"/>
    <sheet state="visible" name="SewaAset" sheetId="18" r:id="rId22"/>
    <sheet state="visible" name="Notulensi" sheetId="19" r:id="rId23"/>
    <sheet state="visible" name="LaporanPersetujuan" sheetId="20" r:id="rId24"/>
    <sheet state="visible" name="AuditLog" sheetId="21" r:id="rId25"/>
  </sheets>
  <definedNames/>
  <calcPr/>
</workbook>
</file>

<file path=xl/sharedStrings.xml><?xml version="1.0" encoding="utf-8"?>
<sst xmlns="http://schemas.openxmlformats.org/spreadsheetml/2006/main" count="2339" uniqueCount="766">
  <si>
    <t>version</t>
  </si>
  <si>
    <t>id</t>
  </si>
  <si>
    <t>generatedAt</t>
  </si>
  <si>
    <t>part</t>
  </si>
  <si>
    <t>parts</t>
  </si>
  <si>
    <t>payload</t>
  </si>
  <si>
    <t>date</t>
  </si>
  <si>
    <t>title</t>
  </si>
  <si>
    <t>iuranAmount</t>
  </si>
  <si>
    <t>sukadukaAmount</t>
  </si>
  <si>
    <t>memberCount</t>
  </si>
  <si>
    <t>2026-10-08T05:56:18.155Z</t>
  </si>
  <si>
    <t>createdBy</t>
  </si>
  <si>
    <t>createdAt</t>
  </si>
  <si>
    <t>direction</t>
  </si>
  <si>
    <t>category</t>
  </si>
  <si>
    <t>description</t>
  </si>
  <si>
    <t>amount</t>
  </si>
  <si>
    <t>updatedAt</t>
  </si>
  <si>
    <t>{"cards":[{"label":"Saldo kas gabungan · semua","value":9258000,"trend":"Semua"},{"label":"Penerimaan · semua","value":9258000,"trend":"Semua"},{"label":"Pengeluaran · semua","value":0,"trend":"Semua"},{"label":"Tunggakan iuran","value":1320000,"trend":"Saldo kewajiban anggota"}],"totals":{"income":9258000,"expenses":0,"arrears":1320000,"refundDebt":0},"monthly":[{"month":"May","masuk":0,"keluar":0,"income":0,"expenses":0},{"month":"Jun","masuk":0,"keluar":0,"income":0,"expenses":0},{"month":"Jul","masuk":0,"keluar":0,"income":0,"expenses":0},{"month":"Aug","masuk":0,"keluar":0,"income":0,"expenses":0},{"month":"Sep","masuk":2.64,"keluar":0,"income":2643000,"expenses":0},{"month":"Oct","masuk":6.61,"keluar":0,"income":6615000,"expenses":0}],"sources":[{"name":"Iuran","value":87,"color":"#b5122a"},{"name":"Sesari","value":13,"color":"#242424"},{"name":"Punia","value":0,"color":"#777777"},{"name":"Kas Umum","value":0,"color":"#15803d"}],"modules":{"iuran":{"incoming":2695000,"outgoing":0,"balance":2695000,"unpaid":1320000},"sukaduka":{"incoming":1655000,"outgoing":0,"balance":1655000,"unpaid":620000},"sesari":{"incoming":408000,"outgoing":0,"balance":408000,"unpaid":0},"kasUmum":{"incoming":0,"outgoing":0,"balance":0,"unpaid":0},"punia":{"incoming":0,"outgoing":0,"balance":0,"unpaid":0},"sewa":{"incoming":0,"outgoing":0,"balance":0,"unpaid":0},"piodalan":{"incoming":4500000,"outgoing":0,"balance":4500000,"unpaid":0}},"outstanding":{"arrears":1320000,"sukadukaArrears":620000,"refundDebt":0},"activities":[{"date":"2026-10-08","activity":"Pembayaran iuran anggota","category":"Iuran","incoming":true,"amount":50000},{"date":"2026-10-08","activity":"Transaksi Sukaduka","category":"Sukaduka","incoming":true,"amount":20000},{"date":"2026-10-08","activity":"Wijilan Piodalan 14 Oktober 2026","category":"Piodalan","incoming":true,"amount":250000},{"date":"2026-10-07","activity":"Pembayaran iuran anggota","category":"Iuran","incoming":true,"amount":40000},{"date":"2026-10-07","activity":"Pembayaran iuran anggota","category":"Iuran","incoming":true,"amount":40000},{"date":"2026-10-07","activity":"Pembayaran iuran anggota","category":"Iuran","incoming":true,"amount":30000},{"date":"2026-10-07","activity":"Pembayaran iuran anggota","category":"Iuran","incoming":true,"amount":100000},{"date":"2026-10-07","activity":"Transaksi Sukaduka","category":"Sukaduka","incoming":true,"amount":20000},{"date":"2026-10-07","activity":"Transaksi Sukaduka","category":"Sukaduka","incoming":true,"amount":20000},{"date":"2026-10-07","activity":"Transaksi Sukaduka","category":"Sukaduka","incoming":true,"amount":15000},{"date":"2026-10-07","activity":"Transaksi Sukaduka","category":"Sukaduka","incoming":true,"amount":95000},{"date":"2026-10-07","activity":"Wijilan Piodalan 14 Oktober 2026","category":"Piodalan","incoming":true,"amount":250000}],"piodalanReport":[{"eventName":"PIODALAN BUDA WAGE KLAU 14/10/2026","income":0,"expenses":0,"goodsValue":0,"balance":0},{"eventName":"Wijilan Piodalan 14 Oktober 2026","income":4500000,"expenses":0,"goodsValue":0,"balance":4500000}],"assets":[{"id":"AS-1790639075506","assetName":"Kompor Dua Tungku","category":"Kompor","condition":"Baik","quantity":2,"purchasePrice":4400000,"available":2,"rentalRateSemeton":50000,"rentalRateLuar":100000,"photoUrl":"https://drive.google.com/thumbnail?id=1N3CAIrFVfX96WaK21toWBPcZNGdNSrWM&amp;sz=w1200","currentRenter":"","currentRentals":[]},{"id":"AS-1790696826103","assetName":"Pemabatan Sate","category":"Pemabatan","condition":"Baik","quantity":4,"purchasePrice":0,"available":4,"rentalRateSemeton":5000,"rentalRateLuar":10000,"photoUrl":"","currentRenter":"","currentRentals":[]},{"id":"AS-1790697038885","assetName":"Pengulingan Guling Babi","category":"Pengulingan","condition":"Baik","quantity":2,"purchasePrice":0,"available":2,"rentalRateSemeton":10000,"rentalRateLuar":25000,"photoUrl":"","currentRenter":"","currentRentals":[]},{"id":"AS-1790697148317","assetName":"Mesin Parut Coper Filling ","category":"Mesin Serbaguna","condition":"Baik","quantity":1,"purchasePrice":2000000,"available":1,"rentalRateSemeton":20000,"rentalRateLuar":50000,"photoUrl":"https://drive.google.com/thumbnail?id=1rE--AeomXo7AdhhIYYNZIwy_WF1nhzuv&amp;sz=w1200","currentRenter":"","currentRentals":[]},{"id":"AS-1790697300489","assetName":"Blower ","category":"Blower","condition":"Baik","quantity":1,"purchasePrice":0,"available":1,"rentalRateSemeton":10000,"rentalRateLuar":15000,"photoUrl":"","currentRenter":"","currentRentals":[]},{"id":"AS-1790697353684","assetName":"Laapan Sanggah","category":"Tenda","condition":"Baik","quantity":2,"purchasePrice":0,"available":2,"rentalRateSemeton":30000,"rentalRateLuar":0,"photoUrl":"","currentRenter":"","currentRentals":[]}],"public":{"balance":9258000,"income":9258000,"expenses":0,"activeMembers":28,"monthly":[{"month":"May","masuk":0,"keluar":0,"income":0,"expenses":0},{"month":"Jun","masuk":0,"keluar":0,"income":0,"expenses":0},{"month":"Jul","masuk":0,"keluar":0,"income":0,"expenses":0},{"month":"Aug","masuk":0,"keluar":0,"income":0,"expenses":0},{"month":"Sep","masuk":2.64,"keluar":0,"income":2643000,"expenses":0},{"month":"Oct","masuk":6.61,"keluar":0,"income":6615000,"expenses":0}],"sources":[{"name":"Iuran","value":87,"color":"#b5122a"},{"name":"Sesari","value":13,"color":"#242424"},{"name":"Punia","value":0,"color":"#777777"},{"name":"Kas Umum","value":0,"color":"#15803d"}],"modules":{"iuran":{"incoming":2695000,"outgoing":0,"balance":2695000,"unpaid":1320000},"sukaduka":{"incoming":1655000,"outgoing":0,"balance":1655000,"unpaid":620000},"sesari":{"incoming":408000,"outgoing":0,"balance":408000,"unpaid":0},"kasUmum":{"incoming":0,"outgoing":0,"balance":0,"unpaid":0},"punia":{"incoming":0,"outgoing":0,"balance":0,"unpaid":0},"sewa":{"incoming":0,"outgoing":0,"balance":0,"unpaid":0},"piodalan":{"incoming":4500000,"outgoing":0,"balance":4500000,"unpaid":0}},"outstanding":{"arrears":1320000,"sukadukaArrears":620000,"refundDebt":0},"donations":[{"id":"PI-7246ca74-d9aa-4fcf-ab01-137dad4312eb","date":"2026-10-08","donor":"I GEDE AGUS SUPARDIANA","donationType":"Uang Tunai","eventName":"Wijilan Piodalan 14 Oktober 2026","itemName":"","quantity":0,"unit":"unit","amount":250000,"module":"Piodalan"},{"id":"PI-e2b2b418-68ab-4cd2-a9ad-7c5fad2d42f0","date":"2026-10-07","donor":"I KOMANG EDI SUPARWAN","donationType":"Uang Tunai","eventName":"Wijilan Piodalan 14 Oktober 2026","itemName":"","quantity":0,"unit":"unit","amount":250000,"module":"Piodalan"},{"id":"PI-bd76c559-d5b4-421a-83dc-5d568632406c","date":"2026-10-07","donor":"I KOMANG SUPARTA","donationType":"Uang Tunai","eventName":"Wijilan Piodalan 14 Oktober 2026","itemName":"","quantity":0,"unit":"unit","amount":250000,"module":"Piodalan"},{"id":"PI-f878be22-f4a3-42e4-966b-4dcbbd7a2211","date":"2026-10-07","donor":"I KETUT SUMERTA","donationType":"Uang Tunai","eventName":"Wijilan Piodalan 14 Oktober 2026","itemName":"","quantity":0,"unit":"unit","amount":250000,"module":"Piodalan"},{"id":"PI-f13f824a-dbd5-4a5a-bede-e88e5572bbdb","date":"2026-10-07","donor":"I NENGAH SUARDIKA","donationType":"Uang Tunai","eventName":"Wijilan Piodalan 14 Oktober 2026","itemName":"","quantity":0,"unit":"unit","amount":250000,"module":"Piodalan"},{"id":"PI-3b7c5395-a881-41f0-9387-7829965b511c","date":"2026-10-05","donor":"I KETUT SUMADIANA","donationType":"Uang Tunai","eventName":"Wijilan Piodalan 14 Oktober 2026","itemName":"","quantity":0,"unit":"unit","amount":250000,"module":"Piodalan"},{"id":"PI-38a3e4f2-2bd6-424c-b8b0-ca38c6f173ba","date":"2026-10-05","donor":"PUTU JULI AGUS ARIAWAN","donationType":"Uang Tunai","eventName":"Wijilan Piodalan 14 Oktober 2026","itemName":"","quantity":0,"unit":"unit","amount":250000,"module":"Piodalan"},{"id":"PI-df6aff25-6479-4973-aebe-bbd0e0cd2552","date":"2026-10-05","donor":"I KOMANG JUNIANTRA","donationType":"Uang Tunai","eventName":"Wijilan Piodalan 14 Oktober 2026","itemName":"","quantity":0,"unit":"unit","amount":250000,"module":"Piodalan"},{"id":"PI-318fc09c-4b19-4a55-8ad8-8e369f610bb6","date":"2026-10-04","donor":"I KOMANG SUARSA","donationType":"Uang Tunai","eventName":"Wijilan Piodalan 14 Oktober 2026","itemName":"","quantity":0,"unit":"unit","amount":250000,"module":"Piodalan"},{"id":"PI-ee0f09f6-b3f0-4db7-836a-5daf663c2e6d","date":"2026-10-04","donor":"I KETUT BUDIADA","donationType":"Uang Tunai","eventName":"Wijilan Piodalan 14 Oktober 2026","itemName":"","quantity":0,"unit":"unit","amount":250000,"module":"Piodalan"},{"id":"PI-158d9572-9cd8-4776-ab96-1fd8bf77ff74","date":"2026-10-03","donor":"I GEDE PUTU ASTIKA","donationType":"Uang Tunai","eventName":"Wijilan Piodalan 14 Oktober 2026","itemName":"","quantity":0,"unit":"unit","amount":250000,"module":"Piodalan"},{"id":"PI-a761fc4f-5580-462a-b1db-4da2c25b29cf","date":"2026-10-02","donor":"I KOMANG KARIASA","donationType":"Uang Tunai","eventName":"Wijilan Piodalan 14 Oktober 2026","itemName":"","quantity":0,"unit":"unit","amount":250000,"module":"Piodalan"},{"id":"PI-bec1a53e-607f-4c6d-9ce8-09eb1cbba751","date":"2026-10-02","donor":"I WAYAN SRIANTA","donationType":"Uang Tunai","eventName":"Wijilan Piodalan 14 Oktober 2026","itemName":"","quantity":0,"unit":"unit","amount":250000,"module":"Piodalan"},{"id":"PI-6ef78392-6b3a-4e99-ab6e-17f9aa1008da","date":"2026-10-02","donor":"I GEDE RADITYA MAHARDIKA","donationType":"Uang Tunai","eventName":"Wijilan Piodalan 14 Oktober 2026","itemName":"","quantity":0,"unit":"unit","amount":0,"module":"Piodalan"},{"id":"PI-019d66d1-2ac6-4f1b-adaa-80a579bc5005","date":"2026-10-02","donor":"I GEDE SUDIANA","donationType":"Uang Tunai","eventName":"Wijilan Piodalan 14 Oktober 2026","itemName":"","quantity":0,"unit":"unit","amount":250000,"module":"Piodalan"},{"id":"PI-b81c4946-6fa6-4280-9f1e-444cf3635402","date":"2026-10-02","donor":"I NENGAH SUDITA","donationType":"Uang Tunai","eventName":"Wijilan Piodalan 14 Oktober 2026","itemName":"","quantity":0,"unit":"unit","amount":250000,"module":"Piodalan"},{"id":"PI-6e4b7bee-eaf7-4b19-baee-e0e2d9a4c1e4","date":"2026-10-02","donor":"I GEDE SOMARIADA","donationType":"Uang Tunai","eventName":"Wijilan Piodalan 14 Oktober 2026","itemName":"","quantity":0,"unit":"unit","amount":0,"module":"Piodalan"},{"id":"PI-f2ed3dee-ddfd-403c-9405-53f2a5454a9b","date":"2026-10-02","donor":"I MADE ARIADI","donationType":"Uang Tunai","eventName":"Wijilan Piodalan 14 Oktober 2026","itemName":"","quantity":0,"unit":"unit","amount":0,"module":"Piodalan"},{"id":"PI-aceb83b7-1868-4010-a397-150ed790650b","date":"2026-10-02","donor":"I GEDE SUMERTA","donationType":"Uang Tunai","eventName":"Wijilan Piodalan 14 Oktober 2026","itemName":"","quantity":0,"unit":"unit","amount":0,"module":"Piodalan"},{"id":"PI-c6c95a1f-b541-4713-9408-1ee363925d40","date":"2026-10-02","donor":"I KOMANG YASMADIASA","donationType":"Uang Tunai","eventName":"Wijilan Piodalan 14 Oktober 2026","itemName":"","quantity":0,"unit":"unit","amount":250000,"module":"Piodalan"},{"id":"PI-6470e32e-59a6-4a93-9b66-9efaca385b28","date":"2026-10-02","donor":"I GEDE SUARDIANA","donationType":"Uang Tunai","eventName":"Wijilan Piodalan 14 Oktober 2026","itemName":"","quantity":0,"unit":"unit","amount":0,"module":"Piodalan"},{"id":"PI-41a616fb-51bb-4347-b834-97f581003ae8","date":"2026-10-02","donor":"I GEDE BAGIA OKA MAHENDRA","donationType":"Uang Tunai","eventName":"Wijilan Piodalan 14 Oktober 2026","itemName":"","quantity":0,"unit":"unit","amount":0,"module":"Piodalan"},{"id":"PI-33e30c68-0602-42db-8f32-c03b6eea3fa1","date":"2026-10-02","donor":"I WAYAN AGUS SUWIDNYANA","donationType":"Uang Tunai","eventName":"Wijilan Piodalan 14 Oktober 2026","itemName":"","quantity":0,"unit":"unit","amount":0,"module":"Piodalan"},{"id":"PI-81ef9c29-b720-45a1-a019-535a877c2a3c","date":"2026-10-02","donor":"I KETUT SUWIDYA PUTRA","donationType":"Uang Tunai","eventName":"Wijilan Piodalan 14 Oktober 2026","itemName":"","quantity":0,"unit":"unit","amount":0,"module":"Piodalan"},{"id":"PI-7e849d3e-5e8a-47de-bd50-c41a1f43a17a","date":"2026-10-02","donor":"I KOMANG SARYA","donationType":"Uang Tunai","eventName":"Wijilan Piodalan 14 Oktober 2026","itemName":"","quantity":0,"unit":"unit","amount":0,"module":"Piodalan"},{"id":"PI-82bb9cf7-4b5f-4038-bd25-bebcad3da59c","date":"2026-10-02","donor":"I MADE SARSI","donationType":"Uang Tunai","eventName":"Wijilan Piodalan 14 Oktober 2026","itemName":"","quantity":0,"unit":"unit","amount":0,"module":"Piodalan"},{"id":"PI-62f37a0b-1882-498f-b994-6c2d94417b40","date":"2026-10-02","donor":"JERO MANGKU KETUT TANGSEH","donationType":"Uang Tunai","eventName":"Wijilan Piodalan 14 Oktober 2026","itemName":"","quantity":0,"unit":"unit","amount":250000,"module":"Piodalan"},{"id":"PI-7ea5560e-6897-4c80-904a-a5709d4f6954","date":"2026-10-02","donor":"I KOMANG TONI WIJAYA","donationType":"Uang Tunai","eventName":"Wijilan Piodalan 14 Oktober 2026","itemName":"","quantity":0,"unit":"unit","amount":250000,"module":"Piodalan"},{"id":"5714b695-94fa-409d-816e-0bcb74c0a045","date":"2026-09-26","donor":"I GEDE BAGIA OKA MAHENDRA","donationType":"Barang","eventName":"PIODALAN BUDA WAGE KLAU 14/10/2026","itemName":"BABI GULING","quantity":1,"unit":"ekor","amount":0,"module":"Piodalan"},{"id":"483cbef6-e8c3-4f1b-a044-201e2d108091","date":"2026-09-26","donor":"I KOMANG YASMADIASA","donationType":"Barang","eventName":"PIODALAN BUDA WAGE KLAU 14/10/2026","itemName":"BEBEK","quantity":3,"unit":"ekor","amount":0,"module":"Piodalan"},{"id":"7d8b96fe-6980-40c9-83c0-50f928becc45","date":"2026-09-26","donor":"KAKI WAYAN AGUS OKA","donationType":"Barang","eventName":"PIODALAN BUDA WAGE KLAU 14/10/2026","itemName":"BERAS","quantity":25,"unit":"kg","amount":0,"module":"Piodalan"}],"activities":[{"date":"2026-10-08","activity":"Pembayaran iuran anggota","category":"Iuran","incoming":true,"amount":50000},{"date":"2026-10-08","activity":"Transaksi Sukaduka","category":"Sukaduka","incoming":true,"amount":20000},{"date":"2026-10-08","activity":"Wijilan Piodalan 14 Oktober 2026","category":"Piodalan","incoming":true,"amount":250000},{"date":"2026-10-07","activity":"Pembayaran iuran anggota","category":"Iuran","incoming":true,"amount":40000},{"date":"2026-10-07","activity":"Pembayaran iuran anggota","category":"Iuran","incoming":true,"amount":40000},{"date":"2026-10-07","activity":"Pembayaran iuran anggota","category":"Iuran","incoming":true,"amount":30000},{"date":"2026-10-07","activity":"Pembayaran iuran anggota","category":"Iuran","incoming":true,"amount":100000},{"date":"2026-10-07","activity":"Transaksi Sukaduka","category":"Sukaduka","incoming":true,"amount":20000},{"date":"2026-10-07","activity":"Transaksi Sukaduka","category":"Sukaduka","incoming":true,"amount":20000},{"date":"2026-10-07","activity":"Transaksi Sukaduka","category":"Sukaduka","incoming":true,"amount":15000},{"date":"2026-10-07","activity":"Transaksi Sukaduka","category":"Sukaduka","incoming":true,"amount":95000},{"date":"2026-10-07","activity":"Wijilan Piodalan 14 Oktober 2026","category":"Piodalan","incoming":true,"amount":250000}],"piodalanReport":[{"eventName":"PIODALAN BUDA WAGE KLAU 14/10/2026","income":0,"expenses":0,"goodsValue":0,"balance":0},{"eventName":"Wijilan Piodalan 14 Oktober 2026","income":4500000,"expenses":0,"goodsValue":0,"balance":4500000}],"assets":[{"id":"AS-1790639075506","assetName":"Kompor Dua Tungku","category":"Kompor","condition":"Baik","quantity":2,"purchasePrice":4400000,"available":2,"rentalRateSemeton":50000,"rentalRateLuar":100000,"photoUrl":"https://drive.google.com/thumbnail?id=1N3CAIrFVfX96WaK21toWBPcZNGdNSrWM&amp;sz=w1200","currentRenter":"","currentRentals":[]},{"id":"AS-1790696826103","assetName":"Pemabatan Sate","category":"Pemabatan","condition":"Baik","quantity":4,"purchasePrice":0,"available":4,"rentalRateSemeton":5000,"rentalRateLuar":10000,"photoUrl":"","currentRenter":"","currentRentals":[]},{"id":"AS-1790697038885","assetName":"Pengulingan Guling Babi","category":"Pengulingan","condition":"Baik","quantity":2,"purchasePrice":0,"available":2,"rentalRateSemeton":10000,"rentalRateLuar":25000,"photoUrl":"","currentRenter":"","currentRentals":[]},{"id":"AS-1790697148317","assetName":"Mesin Parut Coper Filling ","category":"Mesin Serbaguna","condition":"Baik","quantity":1,"purchasePrice":2000000,"available":1,"rentalRateSemeton":20000,"rentalRateLuar":50000,"photoUrl":"https://drive.google.com/thumbnail?id=1rE--AeomXo7AdhhIYYNZIwy_WF1nhzuv&amp;sz=w1200","currentRenter":"","currentRentals":[]},{"id":"AS-1790697300489","assetName":"Blower ","category":"Blower","condition":"Baik","quantity":1,"purchasePrice":0,"available":1,"rentalRateSemeton":10000,"rentalRateLuar":15000,"photoUrl":"","currentRenter":"","currentRentals":[]},{"id":"AS-1790697353684","assetName":"Laapan Sanggah","category":"Tenda","condition":"Baik","quantity":2,"purchasePrice":0,"available":2,"rentalRateSemeton":30000,"rentalRateLuar":0,"photoUrl":"","currentRenter":"","currentRentals":[]}],"generatedAt":"2026-10-08T05:56:18.155Z"}}</t>
  </si>
  <si>
    <t>name</t>
  </si>
  <si>
    <t>username</t>
  </si>
  <si>
    <t>passwordHash</t>
  </si>
  <si>
    <t>salt</t>
  </si>
  <si>
    <t>role</t>
  </si>
  <si>
    <t>status</t>
  </si>
  <si>
    <t>lastLoginAt</t>
  </si>
  <si>
    <t>da6ab869-a2c1-4507-b13e-a722c74c9d33</t>
  </si>
  <si>
    <t>I GEDE AGUS SUPARDIANA</t>
  </si>
  <si>
    <t>Administrator</t>
  </si>
  <si>
    <t>998890eab981d9ad3dd97fe22b7107ec530cdea1a32587ed9556274615f0a725</t>
  </si>
  <si>
    <t>ef328ec0-dd34-47b3-b59f-6abef5d9c0b1</t>
  </si>
  <si>
    <t>Admin</t>
  </si>
  <si>
    <t>Aktif</t>
  </si>
  <si>
    <t>2026-09-28T17:43:44.963Z</t>
  </si>
  <si>
    <t>2026-10-08T05:31:00.223Z</t>
  </si>
  <si>
    <t>US-1790635531946</t>
  </si>
  <si>
    <t>I GEDE SUARDIANA</t>
  </si>
  <si>
    <t>denana</t>
  </si>
  <si>
    <t>a53b383ead8de6564c25d2dd2187fd2a8cb4438d8848de92148b403967e98e2b</t>
  </si>
  <si>
    <t>5447a85e-c9dd-434e-b05c-049bb3f2fec5</t>
  </si>
  <si>
    <t>Ketua</t>
  </si>
  <si>
    <t>2026-09-28T22:45:34.480Z</t>
  </si>
  <si>
    <t>2026-10-02T12:11:35.998Z</t>
  </si>
  <si>
    <t>US-1790635593224</t>
  </si>
  <si>
    <t>KOMANG YASMADIASA</t>
  </si>
  <si>
    <t>mangyas</t>
  </si>
  <si>
    <t>bf954309141294464555bac4320d22e9b220848c185b6f76571961f17c8c02ff</t>
  </si>
  <si>
    <t>29f5cf51-1347-40f6-89d6-0815df156d46</t>
  </si>
  <si>
    <t>Bendahara</t>
  </si>
  <si>
    <t>2026-09-28T22:46:35.426Z</t>
  </si>
  <si>
    <t>2026-10-08T05:53:41.980Z</t>
  </si>
  <si>
    <t>US-1790635663350</t>
  </si>
  <si>
    <t xml:space="preserve">I GEDE AGUS SUPARDIANA, A. Md. </t>
  </si>
  <si>
    <t>supardiana</t>
  </si>
  <si>
    <t>6c7295c005e374766b98705f27b0e30d720bad3b323f766bdb28376bd2942fe3</t>
  </si>
  <si>
    <t>c8516577-2e42-436c-8beb-cee0716de31e</t>
  </si>
  <si>
    <t>Sekretaris</t>
  </si>
  <si>
    <t>2026-09-28T22:47:45.132Z</t>
  </si>
  <si>
    <t>2026-09-30T11:41:55.264Z</t>
  </si>
  <si>
    <t>memberNo</t>
  </si>
  <si>
    <t>memberName</t>
  </si>
  <si>
    <t>phone</t>
  </si>
  <si>
    <t>address</t>
  </si>
  <si>
    <t>joinedAt</t>
  </si>
  <si>
    <t>notes</t>
  </si>
  <si>
    <t>AN-1790642743006</t>
  </si>
  <si>
    <t>TKR-01</t>
  </si>
  <si>
    <t>I KOMANG KARIASA</t>
  </si>
  <si>
    <t>ID</t>
  </si>
  <si>
    <t>Nama</t>
  </si>
  <si>
    <t>Sisa_Hutang_Iuran</t>
  </si>
  <si>
    <t>Sisa_Hutang_Kembalian</t>
  </si>
  <si>
    <t>Sisa_Hutang_Sukaduka</t>
  </si>
  <si>
    <t>AN-1790642761781</t>
  </si>
  <si>
    <t>I WAYAN SRIANTA</t>
  </si>
  <si>
    <t>Pemogan Denpasar</t>
  </si>
  <si>
    <t>AN-1790674248714</t>
  </si>
  <si>
    <t>I GEDE RADITYA MAHARDIKA</t>
  </si>
  <si>
    <t>TKR-02</t>
  </si>
  <si>
    <t>AN-1790674295648</t>
  </si>
  <si>
    <t>I KOMANG EDI SUPARWAN</t>
  </si>
  <si>
    <t>AN-1790674319559</t>
  </si>
  <si>
    <t>I GEDE SUDIANA</t>
  </si>
  <si>
    <t>Telaga Beteng</t>
  </si>
  <si>
    <t>AN-1790674345010</t>
  </si>
  <si>
    <t>I KETUT SUMADIANA</t>
  </si>
  <si>
    <t>TKR-03</t>
  </si>
  <si>
    <t>AN-1790674375774</t>
  </si>
  <si>
    <t>I NENGAH SUDITA</t>
  </si>
  <si>
    <t>AN-1790674415310</t>
  </si>
  <si>
    <t>I KOMANG SUARSA</t>
  </si>
  <si>
    <t>Denpasar</t>
  </si>
  <si>
    <t>AN-1790674520361</t>
  </si>
  <si>
    <t>I GEDE SOMARIADA</t>
  </si>
  <si>
    <t>TKR-04</t>
  </si>
  <si>
    <t>module</t>
  </si>
  <si>
    <t>AN-1790674559873</t>
  </si>
  <si>
    <t>I MADE ARIADI</t>
  </si>
  <si>
    <t>AN-1790674725119</t>
  </si>
  <si>
    <t>I KOMANG SUPARTA</t>
  </si>
  <si>
    <t>updatedBy</t>
  </si>
  <si>
    <t>AN-1790674785178</t>
  </si>
  <si>
    <t>I GEDE SUMERTA</t>
  </si>
  <si>
    <t>Sembiran Singaraja</t>
  </si>
  <si>
    <t>AN-1790675123260</t>
  </si>
  <si>
    <t>I KETUT SUMERTA</t>
  </si>
  <si>
    <t>SALDO-AWAL-IURAN</t>
  </si>
  <si>
    <t>AN-1790675161423</t>
  </si>
  <si>
    <t>TKR-05</t>
  </si>
  <si>
    <t>iuran</t>
  </si>
  <si>
    <t>I GEDE PUTU ASTIKA</t>
  </si>
  <si>
    <t>AN-1790678882915</t>
  </si>
  <si>
    <t>I KOMANG YASMADIASA</t>
  </si>
  <si>
    <t>AN-1790679149381</t>
  </si>
  <si>
    <t>AN-1790679189548</t>
  </si>
  <si>
    <t>I GEDE BAGIA OKA MAHENDRA</t>
  </si>
  <si>
    <t>AN-1790679453648</t>
  </si>
  <si>
    <t>I WAYAN AGUS SUWIDNYANA</t>
  </si>
  <si>
    <t>TKR-06</t>
  </si>
  <si>
    <t>AN-1790680029008</t>
  </si>
  <si>
    <t>Saldo kas hasil pembayaran sebelum aplikasi digunakan.</t>
  </si>
  <si>
    <t>2026-10-03T00:20:55.588Z</t>
  </si>
  <si>
    <t>AN-1790680060537</t>
  </si>
  <si>
    <t>I KETUT SUWIDYA PUTRA</t>
  </si>
  <si>
    <t>SALDO-AWAL-SUKADUKA</t>
  </si>
  <si>
    <t>sukaduka</t>
  </si>
  <si>
    <t>2026-10-03T00:20:55.589Z</t>
  </si>
  <si>
    <t>SALDO-AWAL-SESARI</t>
  </si>
  <si>
    <t>AN-1790680101397</t>
  </si>
  <si>
    <t>sesari</t>
  </si>
  <si>
    <t>TKR-07</t>
  </si>
  <si>
    <t>PUTU JULI AGUS ARIAWAN</t>
  </si>
  <si>
    <t>AN-1790680139633</t>
  </si>
  <si>
    <t>I KOMANG JUNIANTRA</t>
  </si>
  <si>
    <t>AN-1790680175728</t>
  </si>
  <si>
    <t>I NENGAH SUARDIKA</t>
  </si>
  <si>
    <t>AN-1790680276017</t>
  </si>
  <si>
    <t>I KOMANG SARYA</t>
  </si>
  <si>
    <t>TKR-08</t>
  </si>
  <si>
    <t>AN-1790680315889</t>
  </si>
  <si>
    <t>I MADE SARSI</t>
  </si>
  <si>
    <t>AN-1790680366522</t>
  </si>
  <si>
    <t>I KETUT BUDIADA</t>
  </si>
  <si>
    <t>AN-1790680414958</t>
  </si>
  <si>
    <t>TKR-09</t>
  </si>
  <si>
    <t>JERO MANGKU KETUT TANGSEH</t>
  </si>
  <si>
    <t>AN-1790680496619</t>
  </si>
  <si>
    <t>I KOMANG TONI WIJAYA</t>
  </si>
  <si>
    <t>TKR-10</t>
  </si>
  <si>
    <t>TKR-11</t>
  </si>
  <si>
    <t>Padang Kerta</t>
  </si>
  <si>
    <t>TKR-12</t>
  </si>
  <si>
    <t>TKR-13</t>
  </si>
  <si>
    <t>Tigaron</t>
  </si>
  <si>
    <t>TKR-14</t>
  </si>
  <si>
    <t>TKR-15</t>
  </si>
  <si>
    <t>TKR-16</t>
  </si>
  <si>
    <t>TKR-17</t>
  </si>
  <si>
    <t>TKR-18</t>
  </si>
  <si>
    <t>Klungkung</t>
  </si>
  <si>
    <t>TKR-19</t>
  </si>
  <si>
    <t>Besang Ababi</t>
  </si>
  <si>
    <t>TKR-20</t>
  </si>
  <si>
    <t>TKR-21</t>
  </si>
  <si>
    <t>TKR-22</t>
  </si>
  <si>
    <t>TKR-23</t>
  </si>
  <si>
    <t>TKR-24</t>
  </si>
  <si>
    <t>Kubu Bantas</t>
  </si>
  <si>
    <t>TKR-25</t>
  </si>
  <si>
    <t>Tabanan</t>
  </si>
  <si>
    <t>TKR-26</t>
  </si>
  <si>
    <t>TKR-27</t>
  </si>
  <si>
    <t>TKR-28</t>
  </si>
  <si>
    <t>Jakarta</t>
  </si>
  <si>
    <t>payee</t>
  </si>
  <si>
    <t>period</t>
  </si>
  <si>
    <t>openedAt</t>
  </si>
  <si>
    <t>closedAt</t>
  </si>
  <si>
    <t>monthlyTarget</t>
  </si>
  <si>
    <t>totalBilled</t>
  </si>
  <si>
    <t>carryArrears</t>
  </si>
  <si>
    <t>carryRefundDebt</t>
  </si>
  <si>
    <t>periodId</t>
  </si>
  <si>
    <t>memberId</t>
  </si>
  <si>
    <t>target</t>
  </si>
  <si>
    <t>allocatedContribution</t>
  </si>
  <si>
    <t>cashPhysical</t>
  </si>
  <si>
    <t>changeDue</t>
  </si>
  <si>
    <t>changePaid</t>
  </si>
  <si>
    <t>openingArrears</t>
  </si>
  <si>
    <t>arrears</t>
  </si>
  <si>
    <t>openingRefundDebt</t>
  </si>
  <si>
    <t>refundDebtAdded</t>
  </si>
  <si>
    <t>refundDebt</t>
  </si>
  <si>
    <t>chargeAmount</t>
  </si>
  <si>
    <t>sangkepId</t>
  </si>
  <si>
    <t>IU-ecc2fd00-c3bc-4e60-8a70-f67c10466752</t>
  </si>
  <si>
    <t>2026-10-02T11:26:21.065Z</t>
  </si>
  <si>
    <t>2026-10-02T11:26:21.067Z</t>
  </si>
  <si>
    <t>IU-f221cc70-4503-43f9-9fca-a1d233a93dea</t>
  </si>
  <si>
    <t>2026-10-02T11:27:53.708Z</t>
  </si>
  <si>
    <t>2026-10-02T11:27:53.712Z</t>
  </si>
  <si>
    <t>IU-64f2faf1-7994-485f-ac3d-db051c40c82b</t>
  </si>
  <si>
    <t>2026-10-02T11:29:36.889Z</t>
  </si>
  <si>
    <t>2026-10-02T11:29:36.891Z</t>
  </si>
  <si>
    <t>IU-09a2b441-f67c-4283-b614-a9a2f7b1c3ac</t>
  </si>
  <si>
    <t>2026-10-02T11:31:11.899Z</t>
  </si>
  <si>
    <t>2026-10-02T11:31:11.900Z</t>
  </si>
  <si>
    <t>IU-a8969429-73a6-43b7-b4fb-813fb16d6da1</t>
  </si>
  <si>
    <t>2026-10-02T11:31:51.301Z</t>
  </si>
  <si>
    <t>2026-10-02T11:31:51.302Z</t>
  </si>
  <si>
    <t>IU-970dd4ce-7041-490c-8f72-c0e46766dc31</t>
  </si>
  <si>
    <t>2026-10-02T23:54:33.267Z</t>
  </si>
  <si>
    <t>2026-10-02T23:55:20.264Z</t>
  </si>
  <si>
    <t>IU-e5b90f79-61ef-4d17-aa12-00537a7aeb4e</t>
  </si>
  <si>
    <t>2026-10-04T10:25:54.768Z</t>
  </si>
  <si>
    <t>IU-1fe99d9e-71f4-4a76-9706-6a571478eb18</t>
  </si>
  <si>
    <t>2026-10-04T10:28:04.299Z</t>
  </si>
  <si>
    <t>2026-10-04T10:28:04.302Z</t>
  </si>
  <si>
    <t>IU-3d48ea1f-761f-4d40-b863-9ad277441142</t>
  </si>
  <si>
    <t>2026-10-07T12:11:33.161Z</t>
  </si>
  <si>
    <t>IU-e26f1109-4b4c-4ed0-b9e8-eb060ed63840</t>
  </si>
  <si>
    <t>2026-10-07T12:12:17.706Z</t>
  </si>
  <si>
    <t>2026-10-07T12:12:17.708Z</t>
  </si>
  <si>
    <t>IU-48662d02-b8f7-4f09-a3c0-85eefe4e3270</t>
  </si>
  <si>
    <t>2026-10-07T12:12:49.997Z</t>
  </si>
  <si>
    <t>2026-10-07T12:12:50.003Z</t>
  </si>
  <si>
    <t>IU-b6e45988-8ce7-48cd-8364-930292041769</t>
  </si>
  <si>
    <t>2026-10-07T12:13:20.290Z</t>
  </si>
  <si>
    <t>2026-10-07T12:13:20.292Z</t>
  </si>
  <si>
    <t>IU-3acd6825-e2d8-4998-8377-637b0572a339</t>
  </si>
  <si>
    <t>2026-10-08T05:54:25.400Z</t>
  </si>
  <si>
    <t>2026-10-08T05:54:25.405Z</t>
  </si>
  <si>
    <t>recipient</t>
  </si>
  <si>
    <t>purpose</t>
  </si>
  <si>
    <t>proofPhotoUrl</t>
  </si>
  <si>
    <t>SK-936c64d0-0c50-4bad-aeac-771f65e6c77b</t>
  </si>
  <si>
    <t>Masuk</t>
  </si>
  <si>
    <t>2026-10-02T11:33:06.262Z</t>
  </si>
  <si>
    <t>SK-4f1acc35-7ccc-46b7-b037-7adb4b6866b0</t>
  </si>
  <si>
    <t>2026-10-02T11:33:42.621Z</t>
  </si>
  <si>
    <t>donor</t>
  </si>
  <si>
    <t>donationType</t>
  </si>
  <si>
    <t>itemName</t>
  </si>
  <si>
    <t>quantity</t>
  </si>
  <si>
    <t>SK-14ed948b-c75d-4cef-b4c1-54d2ef31d890</t>
  </si>
  <si>
    <t>eventName</t>
  </si>
  <si>
    <t>2026-10-02T11:34:16.271Z</t>
  </si>
  <si>
    <t>unit</t>
  </si>
  <si>
    <t>SK-393f0218-0c6b-4a63-a846-728f42cc20c6</t>
  </si>
  <si>
    <t>2026-10-02T11:36:16.670Z</t>
  </si>
  <si>
    <t>SK-1e153733-43ab-4e4a-9aad-d7dd1c52de5d</t>
  </si>
  <si>
    <t>2026-10-02T11:36:57.626Z</t>
  </si>
  <si>
    <t>SK-cd73e303-3937-4ac5-81e9-74d47dc1d556</t>
  </si>
  <si>
    <t>2026-10-02T11:46:53.200Z</t>
  </si>
  <si>
    <t>SK-88dac9ef-69f0-499f-8862-3071c16736d5</t>
  </si>
  <si>
    <t>2026-10-02T23:56:12.563Z</t>
  </si>
  <si>
    <t>SK-86019727-b847-4bdd-af98-92c0ac448050</t>
  </si>
  <si>
    <t>2026-10-04T10:29:15.506Z</t>
  </si>
  <si>
    <t>SK-e7babe00-14ca-4c23-abc1-9bfee76bf891</t>
  </si>
  <si>
    <t>2026-10-04T10:30:07.411Z</t>
  </si>
  <si>
    <t>SK-db54c2d1-d750-4cd2-8174-89883a5e25b5</t>
  </si>
  <si>
    <t>2026-10-07T12:14:22.919Z</t>
  </si>
  <si>
    <t>SK-6caea6f7-2813-484b-9551-1bda106517e4</t>
  </si>
  <si>
    <t>2026-10-07T12:14:44.007Z</t>
  </si>
  <si>
    <t>SK-1fc35892-da47-404f-929b-7506a8f6377c</t>
  </si>
  <si>
    <t>2026-10-07T12:15:21.620Z</t>
  </si>
  <si>
    <t>SK-e5366663-efd3-46f3-bf60-0752380cb0ab</t>
  </si>
  <si>
    <t>2026-10-07T12:16:00.875Z</t>
  </si>
  <si>
    <t>SK-7f4f8b7f-6cd6-43a1-bda9-150c79c8a1f7</t>
  </si>
  <si>
    <t>2026-10-08T05:55:12.703Z</t>
  </si>
  <si>
    <t>assetName</t>
  </si>
  <si>
    <t>5714b695-94fa-409d-816e-0bcb74c0a045</t>
  </si>
  <si>
    <t>condition</t>
  </si>
  <si>
    <t>PIODALAN BUDA WAGE KLAU 14/10/2026</t>
  </si>
  <si>
    <t>rentalRate</t>
  </si>
  <si>
    <t>Punia barang</t>
  </si>
  <si>
    <t>photoUrl</t>
  </si>
  <si>
    <t>purchasePrice</t>
  </si>
  <si>
    <t>rentalRateSemeton</t>
  </si>
  <si>
    <t>rentalRateLuar</t>
  </si>
  <si>
    <t>BABI GULING</t>
  </si>
  <si>
    <t>AS-1790639075506</t>
  </si>
  <si>
    <t>Kompor Dua Tungku</t>
  </si>
  <si>
    <t>Kompor</t>
  </si>
  <si>
    <t>Baik</t>
  </si>
  <si>
    <t>2026-09-29T13:13:04.777Z</t>
  </si>
  <si>
    <t>https://drive.google.com/uc?export=view&amp;id=1N3CAIrFVfX96WaK21toWBPcZNGdNSrWM</t>
  </si>
  <si>
    <t>ekor</t>
  </si>
  <si>
    <t>483cbef6-e8c3-4f1b-a044-201e2d108091</t>
  </si>
  <si>
    <t>BEBEK</t>
  </si>
  <si>
    <t>7d8b96fe-6980-40c9-83c0-50f928becc45</t>
  </si>
  <si>
    <t>BERAS</t>
  </si>
  <si>
    <t>KAKI WAYAN AGUS OKA</t>
  </si>
  <si>
    <t>kg</t>
  </si>
  <si>
    <t>PI-a761fc4f-5580-462a-b1db-4da2c25b29cf</t>
  </si>
  <si>
    <t>Wijilan Piodalan 14 Oktober 2026</t>
  </si>
  <si>
    <t>Wijilan / Setoran wajib</t>
  </si>
  <si>
    <t>2026-10-02T08:47:47.268Z</t>
  </si>
  <si>
    <t>PI-bec1a53e-607f-4c6d-9ce8-09eb1cbba751</t>
  </si>
  <si>
    <t>PI-6ef78392-6b3a-4e99-ab6e-17f9aa1008da</t>
  </si>
  <si>
    <t>PI-e2b2b418-68ab-4cd2-a9ad-7c5fad2d42f0</t>
  </si>
  <si>
    <t>PI-019d66d1-2ac6-4f1b-adaa-80a579bc5005</t>
  </si>
  <si>
    <t>2026-09-28T23:44:37.828Z</t>
  </si>
  <si>
    <t>2026-09-29T15:53:48.928Z</t>
  </si>
  <si>
    <t>AS-1790696826103</t>
  </si>
  <si>
    <t>Pemabatan Sate</t>
  </si>
  <si>
    <t>Pemabatan</t>
  </si>
  <si>
    <t>PI-3b7c5395-a881-41f0-9387-7829965b511c</t>
  </si>
  <si>
    <t>2026-09-29T15:47:10.707Z</t>
  </si>
  <si>
    <t>AS-1790697038885</t>
  </si>
  <si>
    <t>Pengulingan Guling Babi</t>
  </si>
  <si>
    <t>Pengulingan</t>
  </si>
  <si>
    <t>PI-b81c4946-6fa6-4280-9f1e-444cf3635402</t>
  </si>
  <si>
    <t>2026-09-29T15:50:43.857Z</t>
  </si>
  <si>
    <t>AS-1790697148317</t>
  </si>
  <si>
    <t xml:space="preserve">Mesin Parut Coper Filling </t>
  </si>
  <si>
    <t>Mesin Serbaguna</t>
  </si>
  <si>
    <t>https://drive.google.com/uc?export=view&amp;id=1rE--AeomXo7AdhhIYYNZIwy_WF1nhzuv</t>
  </si>
  <si>
    <t>PI-318fc09c-4b19-4a55-8ad8-8e369f610bb6</t>
  </si>
  <si>
    <t>PI-6e4b7bee-eaf7-4b19-baee-e0e2d9a4c1e4</t>
  </si>
  <si>
    <t>mediaType</t>
  </si>
  <si>
    <t>youtubeUrl</t>
  </si>
  <si>
    <t>eventDate</t>
  </si>
  <si>
    <t>PI-f2ed3dee-ddfd-403c-9405-53f2a5454a9b</t>
  </si>
  <si>
    <t>visibility</t>
  </si>
  <si>
    <t>2026-09-29T15:52:33.256Z</t>
  </si>
  <si>
    <t>2026-09-29T16:02:36.804Z</t>
  </si>
  <si>
    <t>AS-1790697300489</t>
  </si>
  <si>
    <t>KM-1790697898103</t>
  </si>
  <si>
    <t xml:space="preserve">Blower </t>
  </si>
  <si>
    <t>Blower</t>
  </si>
  <si>
    <t>Seksi Piodalan</t>
  </si>
  <si>
    <t>PI-bd76c559-d5b4-421a-83dc-5d568632406c</t>
  </si>
  <si>
    <t>Pembagian seksi piodalan buda wage klau</t>
  </si>
  <si>
    <t>photo</t>
  </si>
  <si>
    <t>2026-09-29T15:55:06.577Z</t>
  </si>
  <si>
    <t>https://drive.google.com/uc?export=view&amp;id=1FdXDHPootIRWXqPYLNCQYDs5V0J-3ntH</t>
  </si>
  <si>
    <t>AS-1790697353684</t>
  </si>
  <si>
    <t>Laapan Sanggah</t>
  </si>
  <si>
    <t>Tenda</t>
  </si>
  <si>
    <t>2026-09-29T15:55:57.506Z</t>
  </si>
  <si>
    <t>PI-aceb83b7-1868-4010-a397-150ed790650b</t>
  </si>
  <si>
    <t>PI-f878be22-f4a3-42e4-966b-4dcbbd7a2211</t>
  </si>
  <si>
    <t>PI-158d9572-9cd8-4776-ab96-1fd8bf77ff74</t>
  </si>
  <si>
    <t>PI-c6c95a1f-b541-4713-9408-1ee363925d40</t>
  </si>
  <si>
    <t>PI-6470e32e-59a6-4a93-9b66-9efaca385b28</t>
  </si>
  <si>
    <t>Publik</t>
  </si>
  <si>
    <t>2026-09-29T16:05:17.020Z</t>
  </si>
  <si>
    <t>PI-41a616fb-51bb-4347-b834-97f581003ae8</t>
  </si>
  <si>
    <t>KM-1790698045170</t>
  </si>
  <si>
    <t>Pembagian Banten</t>
  </si>
  <si>
    <t>Pembagian banten piodalan bude wage klau dengan Lotre</t>
  </si>
  <si>
    <t>https://drive.google.com/uc?export=view&amp;id=1MXb0rF7reQxt5fQcmiJ9e9Z4yt1eFQ8b</t>
  </si>
  <si>
    <t>PI-33e30c68-0602-42db-8f32-c03b6eea3fa1</t>
  </si>
  <si>
    <t>PI-7246ca74-d9aa-4fcf-ab01-137dad4312eb</t>
  </si>
  <si>
    <t>PI-81ef9c29-b720-45a1-a019-535a877c2a3c</t>
  </si>
  <si>
    <t>2026-09-29T16:07:39.526Z</t>
  </si>
  <si>
    <t>KM-1790698149548</t>
  </si>
  <si>
    <t>Pembagian Banten 2</t>
  </si>
  <si>
    <t>Pembagian Banten Halaman 2</t>
  </si>
  <si>
    <t>PI-38a3e4f2-2bd6-424c-b8b0-ca38c6f173ba</t>
  </si>
  <si>
    <t>https://drive.google.com/uc?export=view&amp;id=1jtpV-YHyGE-DsRxR_mE8wPESHVC5FJu6</t>
  </si>
  <si>
    <t>PI-df6aff25-6479-4973-aebe-bbd0e0cd2552</t>
  </si>
  <si>
    <t>PI-f13f824a-dbd5-4a5a-bede-e88e5572bbdb</t>
  </si>
  <si>
    <t>PI-7e849d3e-5e8a-47de-bd50-c41a1f43a17a</t>
  </si>
  <si>
    <t>2026-09-29T16:09:21.716Z</t>
  </si>
  <si>
    <t>PI-82bb9cf7-4b5f-4038-bd25-bebcad3da59c</t>
  </si>
  <si>
    <t>PI-ee0f09f6-b3f0-4db7-836a-5daf663c2e6d</t>
  </si>
  <si>
    <t>PI-62f37a0b-1882-498f-b994-6c2d94417b40</t>
  </si>
  <si>
    <t>PI-7ea5560e-6897-4c80-904a-a5709d4f6954</t>
  </si>
  <si>
    <t>assetId</t>
  </si>
  <si>
    <t>movement</t>
  </si>
  <si>
    <t>renter</t>
  </si>
  <si>
    <t>startDate</t>
  </si>
  <si>
    <t>endDate</t>
  </si>
  <si>
    <t>rentalIncome</t>
  </si>
  <si>
    <t>maintenanceCost</t>
  </si>
  <si>
    <t>customerType</t>
  </si>
  <si>
    <t>attendees</t>
  </si>
  <si>
    <t>minutes</t>
  </si>
  <si>
    <t>followUp</t>
  </si>
  <si>
    <t>NO-1790768723484</t>
  </si>
  <si>
    <t>Sangkep Piodalan Budawage Klau</t>
  </si>
  <si>
    <t>Om Swastyastu
Semeton Sendetan Sareng Sami
Puniki Catatan Sangkep tanggal 26/9/2026 Persiapan Piodalan 
Buda Wage Klau 14 Oktober 2026
1. PENDANAAN
Numbas kompor, blower lan mensin parut : 
6.910.000 keambil saking kas .
alat alat punika jagi keanggen persiapan piodalan. selanturne jagi  disewakan mangde polih pemasukan lan biaya pemeliharaan
Kondisi keuangan pertanggal 26/9/2026
Dana iuran :  1.215.000 
suka duka :920.000
sesari : 408.000
Sawireh jagi keanggen piodalan, semeton mangde mangde lunas sedurung tanggal : 10/10/2026
dana iuran belum dibayar 2.700.000 
yening tegep dana iuran due 3.915.000 
2. PEWIJILAN
Wijilan  jinah WAJIB : 250.000 batas pembayaran 10/10/2026
jagi keanggen numbas :
Bawi potong  1 ekor 
guling 1 ekor 
penganteb 
bebek 
base
caru
anggen jaga jaga yening kirangan dana semetonne jagi kekeninin malih : 50.000 
3. INVENTARIS DAN SEWA ALAT
Rincian sewa alat , tiang unggah ring FOTO ,nanging Nare,cobek nenten disewakan
4. PEMBAGIAN SEKSI
DAFTAR PEMBAGIAN SEKSI TIANG UNGGAH RING FOTO
5. PEMBAGIAN BANTEN
DAFTAR PEMBAGIAN LOTRE ATURAN RING FOTO
Semeton aturine mangde ngarya BANTEN PEPENDETAN kekalih 
6. PEPESUAN
sambuk : 5 kupak
kelapa lawar : 2 bh
kelapa penyatean : 1 bh
cobek : sane nampek (opsional) 
daun pisang : alepit
7. JADWAL PERSIAPAN UPACARA
-tgl 10/10/2026  jam 0 7.00
kegiatan :ngerebah tiying , ngarye bale paebat, sanggah cucukan, ngerakit laapan
pakaian : bebas rapi
-tgl 11/10/2026 jam 07.00
kegiatan : ngiasin, ngarye kalangan tajen
pakaian : adat madya
-tgl 12/10/2026
jam  09.00 mulai tajen ( sane seneng) 
jam 14.00
kegiatan :ngarye base
pakaian: adat madya
-tgl 13/10/2026
jam 04.00
kegiatan nampah bawi
pakaian : adat madya
jam 17.00
kegiatan : matur piuning
pakaian :  sembahyang
-tgl  14/10/2026
jam 04.00
kegiatan : nguling bawi
jam  17.00
mulai piodalan
8. PUNIA
I Gede Bagia Oka Mahendra ngaturang guling 1 ekor
Kaki wayan agus oka ngaturang beras 25 kg
Km yasmadiasa ngaturang bebek 3 ekor
Matur suksma sampun ngaturang punia , dumogi ngemolihang kerahayuan lan kerahajengan 
Akadi punika notulen utawi catatan pesangkepan rahine mangkin
Om Santih Santih Santih Om</t>
  </si>
  <si>
    <t>sudah dibagikan ke wa group</t>
  </si>
  <si>
    <t>2026-09-30T11:45:29.421Z</t>
  </si>
  <si>
    <t>approvedBy</t>
  </si>
  <si>
    <t>approvedAt</t>
  </si>
  <si>
    <t>timestamp</t>
  </si>
  <si>
    <t>userId</t>
  </si>
  <si>
    <t>action</t>
  </si>
  <si>
    <t>recordId</t>
  </si>
  <si>
    <t>details</t>
  </si>
  <si>
    <t>64e36b9a-1022-41dd-87a4-15ddbe305a0e</t>
  </si>
  <si>
    <t>2026-09-28T23:44:38.024Z</t>
  </si>
  <si>
    <t>create</t>
  </si>
  <si>
    <t>Aset</t>
  </si>
  <si>
    <t>2d15e4e7-06ef-4f54-b05e-18e60e20eac3</t>
  </si>
  <si>
    <t>2026-09-29T00:45:49.865Z</t>
  </si>
  <si>
    <t>Anggota</t>
  </si>
  <si>
    <t>7724a0ac-dc9e-40c3-8e1a-6b2d20282c27</t>
  </si>
  <si>
    <t>2026-09-29T00:46:08.336Z</t>
  </si>
  <si>
    <t>87b60c7e-484b-4d71-aa8f-4b5b3e94e3d6</t>
  </si>
  <si>
    <t>2026-09-29T06:55:52.145Z</t>
  </si>
  <si>
    <t>Sesari</t>
  </si>
  <si>
    <t>SE-1790664949417</t>
  </si>
  <si>
    <t>cd29fed5-2fab-4c0c-a543-b58cfa7ec306</t>
  </si>
  <si>
    <t>2026-09-29T09:30:54.094Z</t>
  </si>
  <si>
    <t>1b99d679-7b7f-4c97-94aa-7b0e86ffff32</t>
  </si>
  <si>
    <t>2026-09-29T09:31:41.224Z</t>
  </si>
  <si>
    <t>dafe28b1-ac9a-4043-90e6-18939d9ac866</t>
  </si>
  <si>
    <t>2026-09-29T09:32:03.663Z</t>
  </si>
  <si>
    <t>6efdafcc-1930-4cc3-aad5-ace676878fcf</t>
  </si>
  <si>
    <t>2026-09-29T09:32:29.649Z</t>
  </si>
  <si>
    <t>55e4a51f-e3ee-422c-9f85-425d673e2b8e</t>
  </si>
  <si>
    <t>2026-09-29T09:33:00.078Z</t>
  </si>
  <si>
    <t>869babb5-ee6f-4316-9c20-81b01006b05f</t>
  </si>
  <si>
    <t>2026-09-29T09:33:39.841Z</t>
  </si>
  <si>
    <t>ec6e01e8-71f6-4f2f-bb9d-5fe741a47856</t>
  </si>
  <si>
    <t>2026-09-29T09:34:03.375Z</t>
  </si>
  <si>
    <t>AN-1790674439271</t>
  </si>
  <si>
    <t>f8afb363-91d7-44fb-8999-389d7b1cb5eb</t>
  </si>
  <si>
    <t>2026-09-29T09:35:25.049Z</t>
  </si>
  <si>
    <t>8401b425-0d0e-489e-a5a0-56198ef6a9e4</t>
  </si>
  <si>
    <t>2026-09-29T09:36:04.991Z</t>
  </si>
  <si>
    <t>cb4f74c6-30e5-496d-9c8b-4a11eed81772</t>
  </si>
  <si>
    <t>2026-09-29T09:38:49.654Z</t>
  </si>
  <si>
    <t>d164dd2c-62e1-4884-8755-044a4f541a13</t>
  </si>
  <si>
    <t>2026-09-29T09:39:49.078Z</t>
  </si>
  <si>
    <t>caa568b6-d5cf-4aac-b3ae-f1d4393df287</t>
  </si>
  <si>
    <t>2026-09-29T09:45:29.224Z</t>
  </si>
  <si>
    <t>09758974-f109-4f0c-8539-f3c4f5bf7fcd</t>
  </si>
  <si>
    <t>2026-09-29T09:46:06.790Z</t>
  </si>
  <si>
    <t>e3d1b9fa-2a97-4c09-a52a-2390330d84c0</t>
  </si>
  <si>
    <t>2026-09-29T10:44:24.514Z</t>
  </si>
  <si>
    <t>update</t>
  </si>
  <si>
    <t>49fa0c3b-0efa-4800-a44c-dceac8de4029</t>
  </si>
  <si>
    <t>2026-09-29T10:48:07.826Z</t>
  </si>
  <si>
    <t>5638a679-8af7-438c-829d-d38869404989</t>
  </si>
  <si>
    <t>2026-09-29T10:52:33.815Z</t>
  </si>
  <si>
    <t>1a517b74-7a51-41fe-955d-b68e0513b94a</t>
  </si>
  <si>
    <t>2026-09-29T10:53:13.785Z</t>
  </si>
  <si>
    <t>8b6513d3-52b8-4bf4-828d-51da2170d4ae</t>
  </si>
  <si>
    <t>2026-09-29T10:57:39.818Z</t>
  </si>
  <si>
    <t>b82d5450-831a-4733-96a7-eea4dc70938f</t>
  </si>
  <si>
    <t>2026-09-29T10:58:19.030Z</t>
  </si>
  <si>
    <t>df6f5abb-cf52-4332-9ed0-649e68bb9066</t>
  </si>
  <si>
    <t>2026-09-29T11:07:13.021Z</t>
  </si>
  <si>
    <t>1caf9f76-e0f4-42e6-9daa-532a43402ffd</t>
  </si>
  <si>
    <t>2026-09-29T11:07:46.240Z</t>
  </si>
  <si>
    <t>eaac04c6-31eb-440e-b692-99874429c1b3</t>
  </si>
  <si>
    <t>2026-09-29T11:08:26.883Z</t>
  </si>
  <si>
    <t>ae3f3b91-f907-4c7e-818d-09357cb525e0</t>
  </si>
  <si>
    <t>2026-09-29T11:09:05.235Z</t>
  </si>
  <si>
    <t>2d79f18d-44c2-46fe-bcbd-c1d94b01eb16</t>
  </si>
  <si>
    <t>2026-09-29T11:09:40.340Z</t>
  </si>
  <si>
    <t>23ca4d26-9770-453f-9f04-3d2bfb72a0c0</t>
  </si>
  <si>
    <t>2026-09-29T11:11:21.691Z</t>
  </si>
  <si>
    <t>fd915e82-4067-478f-b2c4-9f22ab42b793</t>
  </si>
  <si>
    <t>2026-09-29T11:12:00.397Z</t>
  </si>
  <si>
    <t>cffb11c0-e905-48e1-be15-0292f6583a94</t>
  </si>
  <si>
    <t>2026-09-29T11:12:50.368Z</t>
  </si>
  <si>
    <t>6c784935-4718-4c2a-9d8c-4c9dd389d58a</t>
  </si>
  <si>
    <t>2026-09-29T11:13:39.809Z</t>
  </si>
  <si>
    <t>2723aef5-5b3d-4e95-a2e1-b415e40caedd</t>
  </si>
  <si>
    <t>2026-09-29T11:15:00.869Z</t>
  </si>
  <si>
    <t>9c691ec0-208e-41f4-9d60-3d909c74fd71</t>
  </si>
  <si>
    <t>2026-09-29T12:19:03.259Z</t>
  </si>
  <si>
    <t>batchCreate</t>
  </si>
  <si>
    <t>Piodalan</t>
  </si>
  <si>
    <t>ef5ed2a3-9a5c-4ef2-904f-692e8b7c9750</t>
  </si>
  <si>
    <t>22ca0b4b-cab5-4fc3-85d4-7167ce5b455c</t>
  </si>
  <si>
    <t>706a9f36-324f-42f3-8ba1-855b538ce180</t>
  </si>
  <si>
    <t>857678d9-d8f5-4bbd-9876-405294d7a1cf</t>
  </si>
  <si>
    <t>6bb1e9a7-1e92-48ae-be4a-9212baa4fbf9</t>
  </si>
  <si>
    <t>95a21552-65f5-4d33-9d57-6c388adb5a92</t>
  </si>
  <si>
    <t>deadc726-d697-4170-8452-9705198263db</t>
  </si>
  <si>
    <t>ea5a2fe7-1856-439e-b139-bc4c65262984</t>
  </si>
  <si>
    <t>92ca15b8-a797-4cd3-b6a8-1fef8f9ad628</t>
  </si>
  <si>
    <t>2026-09-29T15:08:32.178Z</t>
  </si>
  <si>
    <t>delete</t>
  </si>
  <si>
    <t>32c4e47c-bc08-43b5-8b94-70fea3b916fa</t>
  </si>
  <si>
    <t>2026-09-29T15:09:06.032Z</t>
  </si>
  <si>
    <t>setOpeningBalance</t>
  </si>
  <si>
    <t>{"amount":1215000,"date":"2026-09-29","notes":"Saldo kas hasil pembayaran sebelum aplikasi digunakan."}</t>
  </si>
  <si>
    <t>4e2f1623-6ec4-4bb6-870c-af66db733f8a</t>
  </si>
  <si>
    <t>2026-09-29T15:09:06.558Z</t>
  </si>
  <si>
    <t>{"amount":920000,"date":"2026-09-29","notes":"Saldo kas hasil pembayaran sebelum aplikasi digunakan."}</t>
  </si>
  <si>
    <t>902e1375-03a4-4941-8db6-baa3b1c238c4</t>
  </si>
  <si>
    <t>2026-09-29T15:09:07.076Z</t>
  </si>
  <si>
    <t>{"amount":408000,"date":"2026-09-29","notes":"Saldo kas hasil pembayaran sebelum aplikasi digunakan."}</t>
  </si>
  <si>
    <t>3848fcfe-f14c-4e18-bd54-6ce05ad6c220</t>
  </si>
  <si>
    <t>2026-09-29T15:14:22.499Z</t>
  </si>
  <si>
    <t>6e91c58f-63d9-4b0f-8a92-64ba1a85e556</t>
  </si>
  <si>
    <t>2026-09-29T15:14:22.898Z</t>
  </si>
  <si>
    <t>cb7b7552-db0f-4309-954d-be087b603c18</t>
  </si>
  <si>
    <t>2026-09-29T15:14:23.329Z</t>
  </si>
  <si>
    <t>6c9ce0cd-f645-4fc5-85c4-7d5ca5508fe4</t>
  </si>
  <si>
    <t>2026-09-29T15:47:10.954Z</t>
  </si>
  <si>
    <t>11ecb6c9-c63d-4871-993c-4c3d72e49caf</t>
  </si>
  <si>
    <t>2026-09-29T15:50:44.074Z</t>
  </si>
  <si>
    <t>9c919cb6-8b7d-498b-97d7-4a52b39de0e1</t>
  </si>
  <si>
    <t>2026-09-29T15:52:33.470Z</t>
  </si>
  <si>
    <t>990a0837-32e0-467e-93c4-d3f220b5611c</t>
  </si>
  <si>
    <t>2026-09-29T15:53:48.933Z</t>
  </si>
  <si>
    <t>908b45eb-a701-4531-b134-5b88afbc6663</t>
  </si>
  <si>
    <t>2026-09-29T15:55:07.167Z</t>
  </si>
  <si>
    <t>f60d8a5b-85cd-46a4-b9ae-dd9045a1e5f2</t>
  </si>
  <si>
    <t>2026-09-29T15:55:57.671Z</t>
  </si>
  <si>
    <t>8ca8ef73-6a95-411a-bc4a-b96ff56b64d4</t>
  </si>
  <si>
    <t>2026-09-29T16:02:36.810Z</t>
  </si>
  <si>
    <t>4d3cba15-7eb1-4d59-8d84-5d3622f0ee66</t>
  </si>
  <si>
    <t>2026-09-29T16:05:17.213Z</t>
  </si>
  <si>
    <t>KegiatanMedia</t>
  </si>
  <si>
    <t>47a8043b-7df3-4ca4-b440-320c143bf0d2</t>
  </si>
  <si>
    <t>2026-09-29T16:07:39.714Z</t>
  </si>
  <si>
    <t>91ad1e24-ca2c-4cf2-81b6-a6c4986b2895</t>
  </si>
  <si>
    <t>2026-09-29T16:09:21.945Z</t>
  </si>
  <si>
    <t>9848e548-8add-4d7b-8ece-241e74a8d78f</t>
  </si>
  <si>
    <t>2026-09-29T22:45:10.860Z</t>
  </si>
  <si>
    <t>709dffaa-81b0-4a2a-8bee-1a0c47b48ea8</t>
  </si>
  <si>
    <t>2026-09-30T10:55:50.461Z</t>
  </si>
  <si>
    <t>{"amount":1215000,"date":"2026-09-26","notes":"Saldo kas hasil pembayaran sebelum aplikasi digunakan."}</t>
  </si>
  <si>
    <t>dc1d5020-590f-4f87-a5ff-a1126d1e1e06</t>
  </si>
  <si>
    <t>2026-09-30T10:55:50.762Z</t>
  </si>
  <si>
    <t>{"amount":920000,"date":"2026-09-26","notes":"Saldo kas hasil pembayaran sebelum aplikasi digunakan."}</t>
  </si>
  <si>
    <t>d50c783a-ea51-4512-af2a-74f751562283</t>
  </si>
  <si>
    <t>2026-09-30T10:55:51.079Z</t>
  </si>
  <si>
    <t>{"amount":408000,"date":"2026-09-26","notes":"Saldo kas hasil pembayaran sebelum aplikasi digunakan."}</t>
  </si>
  <si>
    <t>03fa271a-7d63-4bba-88c5-7848aaf1e28d</t>
  </si>
  <si>
    <t>2026-09-30T11:45:30.683Z</t>
  </si>
  <si>
    <t>Notulensi</t>
  </si>
  <si>
    <t>da9a09af-3d11-4075-bd04-ad0c5a0e31d2</t>
  </si>
  <si>
    <t>2026-09-30T11:50:33.186Z</t>
  </si>
  <si>
    <t>8fd08419-de86-488a-86af-3bd6c16d18b3</t>
  </si>
  <si>
    <t>2026-09-30T12:44:36.434Z</t>
  </si>
  <si>
    <t>TRANSAKSI_IURAN</t>
  </si>
  <si>
    <t>ea1735db-f0f9-40da-89be-1c9da6cbfbcc</t>
  </si>
  <si>
    <t>4e0da095-c2f6-4d07-babb-427964b32f05</t>
  </si>
  <si>
    <t>2026-09-30T12:48:54.143Z</t>
  </si>
  <si>
    <t>dfb3c7c9-89e9-40ea-8169-e0923855f842</t>
  </si>
  <si>
    <t>9b36fe41-fd98-4c74-8143-3cd887b5ce0c</t>
  </si>
  <si>
    <t>2026-09-30T14:22:20.005Z</t>
  </si>
  <si>
    <t>IU-e5de65fc-c09d-4330-9f26-8ecb391a57a0</t>
  </si>
  <si>
    <t>341e4b04-5d37-41ca-a658-785373bdb556</t>
  </si>
  <si>
    <t>2026-09-30T14:30:35.390Z</t>
  </si>
  <si>
    <t>feec181c-9792-4716-93a7-1dc211834cb2</t>
  </si>
  <si>
    <t>2026-09-30T14:56:44.744Z</t>
  </si>
  <si>
    <t>IU-cd6a9eba-11df-436b-8b16-a970a106c9da</t>
  </si>
  <si>
    <t>649bc57c-e57d-417e-b67f-5ea3178551e2</t>
  </si>
  <si>
    <t>2026-09-30T14:57:27.558Z</t>
  </si>
  <si>
    <t>aa89ae49-fd25-4503-86fb-2ceb96ab94df</t>
  </si>
  <si>
    <t>2026-09-30T14:59:12.823Z</t>
  </si>
  <si>
    <t>PengeluaranIuran</t>
  </si>
  <si>
    <t>PE-a067c7b5-dcfc-47f2-a2f3-76b7c4bf1b35</t>
  </si>
  <si>
    <t>b49d1f88-6d64-48da-88d3-cffabd0cef3a</t>
  </si>
  <si>
    <t>2026-09-30T15:05:41.720Z</t>
  </si>
  <si>
    <t>0a23205d-a9cd-4987-9afe-0e945e7ef244</t>
  </si>
  <si>
    <t>2026-09-30T21:47:23.606Z</t>
  </si>
  <si>
    <t>IU-d1296c9a-97c9-4836-a53a-3638e45048d2</t>
  </si>
  <si>
    <t>abc72ff4-0caa-4898-9096-9a600e535f3d</t>
  </si>
  <si>
    <t>2026-09-30T22:20:44.458Z</t>
  </si>
  <si>
    <t>IU-5b81c9d8-bf7a-4935-9253-93ccf8033593</t>
  </si>
  <si>
    <t>8d8861fa-e02f-424f-a781-a48bb85134be</t>
  </si>
  <si>
    <t>2026-09-30T22:27:46.732Z</t>
  </si>
  <si>
    <t>5013f800-50b6-465d-a08e-b434f9237a1d</t>
  </si>
  <si>
    <t>2026-09-30T22:27:54.861Z</t>
  </si>
  <si>
    <t>da3afeba-bded-43e4-962f-084232bf1e2f</t>
  </si>
  <si>
    <t>2026-09-30T22:29:24.732Z</t>
  </si>
  <si>
    <t>IU-5630a1a4-b63b-4b82-9abd-9295b2b0d5e5</t>
  </si>
  <si>
    <t>f4f454e0-4878-48a9-8eef-acbb4a7e5178</t>
  </si>
  <si>
    <t>2026-09-30T22:30:18.198Z</t>
  </si>
  <si>
    <t>13f01cc6-aca4-4138-8219-9628bff5f883</t>
  </si>
  <si>
    <t>2026-09-30T22:34:10.960Z</t>
  </si>
  <si>
    <t>Sukaduka</t>
  </si>
  <si>
    <t>SK-b827186d-8c86-4c58-a5f5-9f24caf76bf8</t>
  </si>
  <si>
    <t>c7ec614e-04d6-47ec-ae60-3a3ccc24565f</t>
  </si>
  <si>
    <t>2026-09-30T22:39:41.358Z</t>
  </si>
  <si>
    <t>efebe32f-f8ed-4b80-a90d-72c96e6ff4d6</t>
  </si>
  <si>
    <t>2026-10-01T10:29:51.664Z</t>
  </si>
  <si>
    <t>SK-ffd8c689-72c5-4648-8614-719863c67aff</t>
  </si>
  <si>
    <t>84fc4953-7fb9-41fc-b82f-02643940af5f</t>
  </si>
  <si>
    <t>2026-10-01T10:30:42.826Z</t>
  </si>
  <si>
    <t>SK-58dd80ce-aea8-4394-9014-2f19adff7cc1</t>
  </si>
  <si>
    <t>69e0b5b3-444f-4951-b154-6bd706a4e94e</t>
  </si>
  <si>
    <t>2026-10-01T10:31:32.153Z</t>
  </si>
  <si>
    <t>b334e784-4de6-437b-946a-8aa8ff20842c</t>
  </si>
  <si>
    <t>2026-10-01T10:31:54.989Z</t>
  </si>
  <si>
    <t>ec797799-4f98-4d37-a6a5-453951a47076</t>
  </si>
  <si>
    <t>2026-10-01T10:35:30.097Z</t>
  </si>
  <si>
    <t>PI-d4f67521-b9d9-40f9-933b-f2d012bf512f</t>
  </si>
  <si>
    <t>a53167f1-515b-4c81-b00a-d2fe5ceaade9</t>
  </si>
  <si>
    <t>2026-10-01T10:38:33.601Z</t>
  </si>
  <si>
    <t>8bdcb7f1-72ac-46a4-a26b-7a77aa8be85b</t>
  </si>
  <si>
    <t>2026-10-01T10:40:13.116Z</t>
  </si>
  <si>
    <t>3a6ec8d3-a524-42ba-85de-0d8e82dcb5ab</t>
  </si>
  <si>
    <t>2026-10-01T10:41:12.892Z</t>
  </si>
  <si>
    <t>5929f5ed-f591-4293-bfbb-847b5715b82d</t>
  </si>
  <si>
    <t>9f78c7b4-7913-44f5-bd93-4abe448b41b4</t>
  </si>
  <si>
    <t>5d007867-e91f-4582-9c45-82f1e13cb639</t>
  </si>
  <si>
    <t>d3195765-9d6f-4a0f-abd3-f47e0c0dacef</t>
  </si>
  <si>
    <t>b7ad19bd-fa8a-4164-87f8-0ab2925ccfae</t>
  </si>
  <si>
    <t>d3c0ce0a-46c5-4435-9069-b26790e064e3</t>
  </si>
  <si>
    <t>0e28e0f9-e3fb-41a0-8a37-36bb4c1d3970</t>
  </si>
  <si>
    <t>4dfe8037-356f-4b7b-a5b7-eacdc32a0e51</t>
  </si>
  <si>
    <t>f2b89de5-ae43-41c3-9237-c4a62e9c861b</t>
  </si>
  <si>
    <t>487678ae-ab39-438a-b122-025cc044e211</t>
  </si>
  <si>
    <t>c4a1fa40-ff51-44e2-9e0c-a89240aae2a4</t>
  </si>
  <si>
    <t>de9b3880-137a-4d1f-aa68-2ce70b6309b7</t>
  </si>
  <si>
    <t>160b411c-a974-437a-8d17-252fb4610708</t>
  </si>
  <si>
    <t>a16266bd-3916-4728-9176-9de61a0f4fae</t>
  </si>
  <si>
    <t>34023592-b819-446a-aa56-3c3a8132df96</t>
  </si>
  <si>
    <t>7b134242-6393-40d8-953a-b3f03286e54f</t>
  </si>
  <si>
    <t>38402e89-779c-4c85-9d29-cb3ab3ace29b</t>
  </si>
  <si>
    <t>923206b7-76d1-4bf8-ac45-0302e59aeefb</t>
  </si>
  <si>
    <t>99ec106f-f450-4f16-9917-61dbcaf46c70</t>
  </si>
  <si>
    <t>5f8d2286-003b-4ba5-b420-3e96f0c5ca0f</t>
  </si>
  <si>
    <t>b0177304-6a1d-43f4-a266-e28cd7eba5b3</t>
  </si>
  <si>
    <t>d115c1f8-5750-4a86-b69a-504c8a6d4e38</t>
  </si>
  <si>
    <t>d1f174a8-bb3a-4f2b-afb2-4e5fdc63ff26</t>
  </si>
  <si>
    <t>5622eb73-687b-41e8-ab22-5b1ba17212e0</t>
  </si>
  <si>
    <t>1457f728-9313-4c5f-b35e-8642cb67295b</t>
  </si>
  <si>
    <t>c6376777-ee53-4298-83b0-68a3985d8068</t>
  </si>
  <si>
    <t>49a04f72-63c6-4e16-8ef0-961a1918708a</t>
  </si>
  <si>
    <t>9dc0276b-d172-4ae1-9edc-f28a92e803aa</t>
  </si>
  <si>
    <t>c066f9e0-ebf5-4428-97eb-8cd3fbe05ae4</t>
  </si>
  <si>
    <t>2026-10-02T11:26:22.124Z</t>
  </si>
  <si>
    <t>af2858e8-e525-4e58-b8e0-2a34c51ca350</t>
  </si>
  <si>
    <t>2026-10-02T11:27:55.328Z</t>
  </si>
  <si>
    <t>ad265ca5-0bcd-41aa-a9f4-5be4ae7d4ad8</t>
  </si>
  <si>
    <t>2026-10-02T11:29:37.845Z</t>
  </si>
  <si>
    <t>ad49aa1d-bfac-449f-95f9-86eb85a52bfe</t>
  </si>
  <si>
    <t>2026-10-02T11:31:13.130Z</t>
  </si>
  <si>
    <t>d4b65150-b6ac-4b32-97af-20a12c90a44d</t>
  </si>
  <si>
    <t>2026-10-02T11:31:52.625Z</t>
  </si>
  <si>
    <t>e33c5d2d-cbc3-4840-9161-72a8bfad1756</t>
  </si>
  <si>
    <t>2026-10-02T11:33:07.830Z</t>
  </si>
  <si>
    <t>fcd35fd9-190e-4172-989b-f45c48cb23fe</t>
  </si>
  <si>
    <t>2026-10-02T11:33:44.813Z</t>
  </si>
  <si>
    <t>89d3f9cc-9ddf-4f2c-becd-07a0c7ff2904</t>
  </si>
  <si>
    <t>2026-10-02T11:34:17.398Z</t>
  </si>
  <si>
    <t>eff1a3e4-b6b4-4864-993e-7a46067b0ce8</t>
  </si>
  <si>
    <t>2026-10-02T11:36:17.869Z</t>
  </si>
  <si>
    <t>a420fa17-1af0-4194-9a21-0e777116aa87</t>
  </si>
  <si>
    <t>2026-10-02T11:36:58.592Z</t>
  </si>
  <si>
    <t>7cc700d9-6195-40ac-964a-6011e3513315</t>
  </si>
  <si>
    <t>2026-10-02T11:38:38.593Z</t>
  </si>
  <si>
    <t>c03fae7e-ae7d-4792-82be-84ba1d531a92</t>
  </si>
  <si>
    <t>2026-10-02T11:39:36.739Z</t>
  </si>
  <si>
    <t>2f2b9c7c-36be-49be-95a4-8ac3582d1654</t>
  </si>
  <si>
    <t>2026-10-02T11:40:01.381Z</t>
  </si>
  <si>
    <t>17342490-25f7-42d1-be01-4ce9384c929e</t>
  </si>
  <si>
    <t>2026-10-02T11:40:34.017Z</t>
  </si>
  <si>
    <t>41812acf-5f58-482d-9f15-b849ac4d3554</t>
  </si>
  <si>
    <t>2026-10-02T11:41:19.672Z</t>
  </si>
  <si>
    <t>afc8b742-dfac-4c50-83e1-0335a692e5ef</t>
  </si>
  <si>
    <t>2026-10-02T11:41:46.297Z</t>
  </si>
  <si>
    <t>63d443fc-b43b-49eb-94af-39533e732e82</t>
  </si>
  <si>
    <t>2026-10-02T11:42:13.410Z</t>
  </si>
  <si>
    <t>c850d006-9a84-4c9d-8ca4-9501395cc02e</t>
  </si>
  <si>
    <t>2026-10-02T11:46:54.114Z</t>
  </si>
  <si>
    <t>0cddd66e-92eb-4ecc-b13c-97feec5760b0</t>
  </si>
  <si>
    <t>2026-10-02T23:54:34.186Z</t>
  </si>
  <si>
    <t>a30a5002-f988-4a9e-9dc7-900737a54910</t>
  </si>
  <si>
    <t>2026-10-02T23:55:21.351Z</t>
  </si>
  <si>
    <t>b0b351e7-6bc5-4c87-84d3-8d739feb4b34</t>
  </si>
  <si>
    <t>2026-10-02T23:56:13.280Z</t>
  </si>
  <si>
    <t>cd184f83-1423-4a50-96d0-c70ccfd431b5</t>
  </si>
  <si>
    <t>2026-10-02T23:57:18.329Z</t>
  </si>
  <si>
    <t>acfff992-9597-442a-bce1-95397d861363</t>
  </si>
  <si>
    <t>2026-10-03T00:20:55.596Z</t>
  </si>
  <si>
    <t>{"amount":1315000,"date":"2026-09-26","notes":"Saldo kas hasil pembayaran sebelum aplikasi digunakan."}</t>
  </si>
  <si>
    <t>23b9b3db-cf29-4867-9bba-8df3a07c3c74</t>
  </si>
  <si>
    <t>2026-10-03T00:20:55.901Z</t>
  </si>
  <si>
    <t>3da6ef66-a482-4052-b08f-f02fc5f07dc7</t>
  </si>
  <si>
    <t>2026-10-03T00:20:56.184Z</t>
  </si>
  <si>
    <t>9af59de8-0fcb-4107-b0a7-07ec893f7a8e</t>
  </si>
  <si>
    <t>2026-10-04T10:25:55.487Z</t>
  </si>
  <si>
    <t>edfec1a0-576d-4495-8ea4-cd1ea4117307</t>
  </si>
  <si>
    <t>2026-10-04T10:28:05.123Z</t>
  </si>
  <si>
    <t>606236b6-27f0-4325-8e5e-ad879c6776b2</t>
  </si>
  <si>
    <t>2026-10-04T10:29:16.844Z</t>
  </si>
  <si>
    <t>5c62075c-7a65-4819-9a0c-c9e8a93bcafe</t>
  </si>
  <si>
    <t>2026-10-04T10:30:08.283Z</t>
  </si>
  <si>
    <t>b0dd382e-f4e3-455d-ac4f-e5f13c2990b0</t>
  </si>
  <si>
    <t>2026-10-04T10:31:13.991Z</t>
  </si>
  <si>
    <t>77fd4b17-b3d5-4029-bc03-76229dc56db5</t>
  </si>
  <si>
    <t>2026-10-04T10:32:07.734Z</t>
  </si>
  <si>
    <t>f758af7d-1a5c-464b-bd5d-02d6b7491514</t>
  </si>
  <si>
    <t>2026-10-05T11:30:34.736Z</t>
  </si>
  <si>
    <t>77659be7-78a0-4826-a09c-d4f7f1249545</t>
  </si>
  <si>
    <t>2026-10-05T11:30:49.703Z</t>
  </si>
  <si>
    <t>19916bba-3c1d-47dc-a674-73dada4d0f10</t>
  </si>
  <si>
    <t>2026-10-05T11:31:26.159Z</t>
  </si>
  <si>
    <t>96dd6bf2-82fd-407d-b4b0-9c6716a6b29b</t>
  </si>
  <si>
    <t>2026-10-05T11:31:50.220Z</t>
  </si>
  <si>
    <t>011dba1e-ac1a-477b-bcf4-3554f5be08bb</t>
  </si>
  <si>
    <t>2026-10-05T12:41:36.784Z</t>
  </si>
  <si>
    <t>f46155a1-3ea5-4ac4-b6b6-8cf79c960673</t>
  </si>
  <si>
    <t>2026-10-05T13:37:20.293Z</t>
  </si>
  <si>
    <t>e9aedf1e-bd2b-4157-b0f3-cab755f45342</t>
  </si>
  <si>
    <t>2026-10-06T05:10:10.217Z</t>
  </si>
  <si>
    <t>63a629f4-fd16-4a73-b8bf-e01b80d72486</t>
  </si>
  <si>
    <t>2026-10-06T05:15:22.784Z</t>
  </si>
  <si>
    <t>7e613e82-2f5a-4b58-9485-7d61e774619d</t>
  </si>
  <si>
    <t>2026-10-07T12:11:33.775Z</t>
  </si>
  <si>
    <t>de2dab67-c843-4b6a-bb8e-a1f80314ce10</t>
  </si>
  <si>
    <t>2026-10-07T12:12:18.270Z</t>
  </si>
  <si>
    <t>c9e39a6c-b68b-44c0-8c48-3e280c9b796d</t>
  </si>
  <si>
    <t>2026-10-07T12:12:50.736Z</t>
  </si>
  <si>
    <t>1e4b1f95-2963-4282-bc2d-3ffabddf6a1e</t>
  </si>
  <si>
    <t>2026-10-07T12:13:21.164Z</t>
  </si>
  <si>
    <t>2f47b85d-732e-4fff-be8b-cbd9127d3aae</t>
  </si>
  <si>
    <t>2026-10-07T12:14:23.592Z</t>
  </si>
  <si>
    <t>753bb0ec-7c3d-42bc-a868-1623bc4b8cd8</t>
  </si>
  <si>
    <t>2026-10-07T12:14:44.525Z</t>
  </si>
  <si>
    <t>de486ae6-fcc7-4bb8-aa34-0def5281eedb</t>
  </si>
  <si>
    <t>2026-10-07T12:15:22.855Z</t>
  </si>
  <si>
    <t>ac840d63-3739-4922-a859-a930f30d1bc9</t>
  </si>
  <si>
    <t>2026-10-07T12:16:01.869Z</t>
  </si>
  <si>
    <t>f0476eb1-6cc4-4bb9-99bd-5cc20c6225fe</t>
  </si>
  <si>
    <t>2026-10-07T12:24:58.657Z</t>
  </si>
  <si>
    <t>ef491b2f-4406-4bf2-a710-86ccbcfd6ed0</t>
  </si>
  <si>
    <t>2026-10-07T12:26:21.568Z</t>
  </si>
  <si>
    <t>2c6bfc2a-ccc4-4ce6-bd2f-b066aa3bf3bc</t>
  </si>
  <si>
    <t>2026-10-07T12:27:02.796Z</t>
  </si>
  <si>
    <t>14cbeb70-6473-4232-a4af-f8b58095c8ff</t>
  </si>
  <si>
    <t>2026-10-07T12:27:17.256Z</t>
  </si>
  <si>
    <t>8165e8a5-4652-41af-8cce-c0190cdb091e</t>
  </si>
  <si>
    <t>2026-10-07T12:27:46.197Z</t>
  </si>
  <si>
    <t>12c54bb8-ea57-4a89-ab56-f40df9705dea</t>
  </si>
  <si>
    <t>2026-10-07T13:35:44.427Z</t>
  </si>
  <si>
    <t>722f87a2-97f7-422e-92db-5f17770735a2</t>
  </si>
  <si>
    <t>2026-10-07T13:38:23.832Z</t>
  </si>
  <si>
    <t>4523eda0-018e-44e9-a221-f8e5d94ef770</t>
  </si>
  <si>
    <t>2026-10-07T13:38:42.169Z</t>
  </si>
  <si>
    <t>c445d058-d671-40ab-835c-192ee6fc838f</t>
  </si>
  <si>
    <t>2026-10-07T13:39:07.580Z</t>
  </si>
  <si>
    <t>5da2584e-cfa3-4d38-91f6-014cb3b40e55</t>
  </si>
  <si>
    <t>2026-10-07T13:39:22.219Z</t>
  </si>
  <si>
    <t>a4b3ddb7-a561-44fe-a33f-56503459f2df</t>
  </si>
  <si>
    <t>2026-10-07T13:39:34.458Z</t>
  </si>
  <si>
    <t>e6cecdb4-4d5d-424c-b3e3-e4d72e2bfaf6</t>
  </si>
  <si>
    <t>2026-10-07T13:39:47.743Z</t>
  </si>
  <si>
    <t>d55407cc-4ff4-492c-b17d-bdc670a4d484</t>
  </si>
  <si>
    <t>2026-10-07T13:40:09.953Z</t>
  </si>
  <si>
    <t>b7bf6a2d-408e-4965-8f05-43fb36b2b26a</t>
  </si>
  <si>
    <t>2026-10-07T13:40:26.159Z</t>
  </si>
  <si>
    <t>2b254fb4-6d06-4822-8c56-647dde81f194</t>
  </si>
  <si>
    <t>2026-10-07T13:41:15.754Z</t>
  </si>
  <si>
    <t>04b681ae-271e-4268-82e9-9f6cc5d9b277</t>
  </si>
  <si>
    <t>2026-10-07T13:41:36.390Z</t>
  </si>
  <si>
    <t>52cd3a04-e8d0-4691-995c-475eaecbca10</t>
  </si>
  <si>
    <t>2026-10-07T13:42:41.899Z</t>
  </si>
  <si>
    <t>767e4866-11ee-4514-88c7-24c83a54d8be</t>
  </si>
  <si>
    <t>2026-10-07T13:43:02.647Z</t>
  </si>
  <si>
    <t>7725789c-7dc5-4d82-bdce-68464c2f97ca</t>
  </si>
  <si>
    <t>2026-10-07T13:43:18.519Z</t>
  </si>
  <si>
    <t>fb659347-40c8-4725-947d-52e93f052342</t>
  </si>
  <si>
    <t>2026-10-08T05:54:27.288Z</t>
  </si>
  <si>
    <t>1cf86a22-b7c3-4e14-abe0-7aab45c30352</t>
  </si>
  <si>
    <t>2026-10-08T05:55:13.354Z</t>
  </si>
  <si>
    <t>962cf18a-b145-433f-adaa-6c63d3a7ec81</t>
  </si>
  <si>
    <t>2026-10-08T05:56:13.842Z</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</si>
</sst>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m"/>
  </numFmts>
  <fonts count="6">
    <font>
      <sz val="10.0"/>
      <color rgb="FF000000"/>
      <name val="Arial"/>
      <scheme val="minor"/>
    </font>
    <font>
      <b/>
      <color theme="1"/>
      <name val="Arial"/>
      <scheme val="minor"/>
    </font>
    <font>
      <color theme="1"/>
      <name val="Arial"/>
      <scheme val="minor"/>
    </font>
    <font>
      <sz val="11.0"/>
      <color theme="1"/>
      <name val="Arial"/>
      <scheme val="minor"/>
    </font>
    <font>
      <sz val="12.0"/>
      <color theme="1"/>
      <name val="Arial"/>
      <scheme val="minor"/>
    </font>
    <font>
      <u/>
      <color rgb="FF0000FF"/>
    </font>
  </fonts>
  <fills count="3">
    <fill>
      <patternFill patternType="none"/>
    </fill>
    <fill>
      <patternFill patternType="lightGray"/>
    </fill>
    <fill>
      <patternFill patternType="solid">
        <fgColor rgb="FFE9EFE5"/>
        <bgColor rgb="FFE9EFE5"/>
      </patternFill>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2" fontId="1" numFmtId="0" xfId="0" applyAlignment="1" applyFill="1" applyFont="1">
      <alignment readingOrder="0"/>
    </xf>
    <xf borderId="0" fillId="0" fontId="2" numFmtId="0" xfId="0" applyAlignment="1" applyFont="1">
      <alignment readingOrder="0"/>
    </xf>
    <xf borderId="0" fillId="0" fontId="2" numFmtId="0" xfId="0" applyAlignment="1" applyFont="1">
      <alignment readingOrder="0"/>
    </xf>
    <xf borderId="0" fillId="0" fontId="2" numFmtId="49" xfId="0" applyAlignment="1" applyFont="1" applyNumberFormat="1">
      <alignment readingOrder="0"/>
    </xf>
    <xf borderId="0" fillId="0" fontId="3" numFmtId="0" xfId="0" applyAlignment="1" applyFont="1">
      <alignment readingOrder="0"/>
    </xf>
    <xf borderId="0" fillId="0" fontId="2" numFmtId="164" xfId="0" applyAlignment="1" applyFont="1" applyNumberFormat="1">
      <alignment readingOrder="0"/>
    </xf>
    <xf borderId="0" fillId="0" fontId="4" numFmtId="0" xfId="0" applyAlignment="1" applyFont="1">
      <alignment readingOrder="0"/>
    </xf>
    <xf borderId="0" fillId="0" fontId="3" numFmtId="0" xfId="0" applyFont="1"/>
    <xf borderId="0" fillId="0" fontId="2" numFmtId="165" xfId="0" applyAlignment="1" applyFont="1" applyNumberFormat="1">
      <alignment readingOrder="0"/>
    </xf>
    <xf borderId="0" fillId="0" fontId="5"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5" Type="http://schemas.openxmlformats.org/officeDocument/2006/relationships/worksheet" Target="worksheets/sheet2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drive.google.com/uc?export=view&amp;id=1N3CAIrFVfX96WaK21toWBPcZNGdNSrWM" TargetMode="External"/><Relationship Id="rId2" Type="http://schemas.openxmlformats.org/officeDocument/2006/relationships/hyperlink" Target="https://drive.google.com/uc?export=view&amp;id=1rE--AeomXo7AdhhIYYNZIwy_WF1nhzuv" TargetMode="External"/><Relationship Id="rId3"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drive.google.com/uc?export=view&amp;id=1FdXDHPootIRWXqPYLNCQYDs5V0J-3ntH" TargetMode="External"/><Relationship Id="rId2" Type="http://schemas.openxmlformats.org/officeDocument/2006/relationships/hyperlink" Target="https://drive.google.com/uc?export=view&amp;id=1MXb0rF7reQxt5fQcmiJ9e9Z4yt1eFQ8b" TargetMode="External"/><Relationship Id="rId3" Type="http://schemas.openxmlformats.org/officeDocument/2006/relationships/hyperlink" Target="https://drive.google.com/uc?export=view&amp;id=1jtpV-YHyGE-DsRxR_mE8wPESHVC5FJu6" TargetMode="External"/><Relationship Id="rId4"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9.25"/>
  </cols>
  <sheetData>
    <row r="1">
      <c r="A1" s="1" t="s">
        <v>1</v>
      </c>
      <c r="B1" s="1" t="s">
        <v>20</v>
      </c>
      <c r="C1" s="1" t="s">
        <v>21</v>
      </c>
      <c r="D1" s="1" t="s">
        <v>22</v>
      </c>
      <c r="E1" s="1" t="s">
        <v>23</v>
      </c>
      <c r="F1" s="1" t="s">
        <v>24</v>
      </c>
      <c r="G1" s="1" t="s">
        <v>25</v>
      </c>
      <c r="H1" s="1" t="s">
        <v>13</v>
      </c>
      <c r="I1" s="1" t="s">
        <v>26</v>
      </c>
    </row>
    <row r="2">
      <c r="A2" s="2" t="s">
        <v>27</v>
      </c>
      <c r="B2" s="2" t="s">
        <v>28</v>
      </c>
      <c r="C2" s="2" t="s">
        <v>29</v>
      </c>
      <c r="D2" s="2" t="s">
        <v>30</v>
      </c>
      <c r="E2" s="2" t="s">
        <v>31</v>
      </c>
      <c r="F2" s="2" t="s">
        <v>32</v>
      </c>
      <c r="G2" s="2" t="s">
        <v>33</v>
      </c>
      <c r="H2" s="2" t="s">
        <v>34</v>
      </c>
      <c r="I2" s="2" t="s">
        <v>35</v>
      </c>
    </row>
    <row r="3">
      <c r="A3" s="2" t="s">
        <v>36</v>
      </c>
      <c r="B3" s="2" t="s">
        <v>37</v>
      </c>
      <c r="C3" s="2" t="s">
        <v>38</v>
      </c>
      <c r="D3" s="2" t="s">
        <v>39</v>
      </c>
      <c r="E3" s="2" t="s">
        <v>40</v>
      </c>
      <c r="F3" s="2" t="s">
        <v>41</v>
      </c>
      <c r="G3" s="2" t="s">
        <v>33</v>
      </c>
      <c r="H3" s="2" t="s">
        <v>42</v>
      </c>
      <c r="I3" s="2" t="s">
        <v>43</v>
      </c>
    </row>
    <row r="4">
      <c r="A4" s="2" t="s">
        <v>44</v>
      </c>
      <c r="B4" s="2" t="s">
        <v>45</v>
      </c>
      <c r="C4" s="2" t="s">
        <v>46</v>
      </c>
      <c r="D4" s="2" t="s">
        <v>47</v>
      </c>
      <c r="E4" s="2" t="s">
        <v>48</v>
      </c>
      <c r="F4" s="2" t="s">
        <v>49</v>
      </c>
      <c r="G4" s="2" t="s">
        <v>33</v>
      </c>
      <c r="H4" s="2" t="s">
        <v>50</v>
      </c>
      <c r="I4" s="2" t="s">
        <v>51</v>
      </c>
    </row>
    <row r="5">
      <c r="A5" s="2" t="s">
        <v>52</v>
      </c>
      <c r="B5" s="2" t="s">
        <v>53</v>
      </c>
      <c r="C5" s="2" t="s">
        <v>54</v>
      </c>
      <c r="D5" s="2" t="s">
        <v>55</v>
      </c>
      <c r="E5" s="2" t="s">
        <v>56</v>
      </c>
      <c r="F5" s="2" t="s">
        <v>57</v>
      </c>
      <c r="G5" s="2" t="s">
        <v>33</v>
      </c>
      <c r="H5" s="2" t="s">
        <v>58</v>
      </c>
      <c r="I5" s="2" t="s">
        <v>59</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2</v>
      </c>
      <c r="C1" s="1" t="s">
        <v>3</v>
      </c>
      <c r="D1" s="1" t="s">
        <v>4</v>
      </c>
      <c r="E1" s="1" t="s">
        <v>5</v>
      </c>
    </row>
    <row r="2">
      <c r="A2" s="2">
        <v>70.0</v>
      </c>
      <c r="B2" s="2" t="s">
        <v>11</v>
      </c>
      <c r="C2" s="3">
        <v>1.0</v>
      </c>
      <c r="D2" s="3">
        <v>1.0</v>
      </c>
      <c r="E2" s="4" t="s">
        <v>19</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1</v>
      </c>
      <c r="B1" s="1" t="s">
        <v>6</v>
      </c>
      <c r="C1" s="1" t="s">
        <v>14</v>
      </c>
      <c r="D1" s="1" t="s">
        <v>15</v>
      </c>
      <c r="E1" s="1" t="s">
        <v>16</v>
      </c>
      <c r="F1" s="1" t="s">
        <v>17</v>
      </c>
      <c r="G1" s="1" t="s">
        <v>12</v>
      </c>
      <c r="H1" s="1" t="s">
        <v>13</v>
      </c>
      <c r="I1" s="1" t="s">
        <v>18</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1</v>
      </c>
      <c r="B1" s="1" t="s">
        <v>6</v>
      </c>
      <c r="C1" s="1" t="s">
        <v>7</v>
      </c>
      <c r="D1" s="1" t="s">
        <v>8</v>
      </c>
      <c r="E1" s="1" t="s">
        <v>9</v>
      </c>
      <c r="F1" s="1" t="s">
        <v>10</v>
      </c>
      <c r="G1" s="1" t="s">
        <v>12</v>
      </c>
      <c r="H1" s="1" t="s">
        <v>13</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38"/>
    <col customWidth="1" min="2" max="2" width="8.38"/>
    <col customWidth="1" min="3" max="3" width="29.75"/>
    <col customWidth="1" min="4" max="4" width="14.75"/>
    <col customWidth="1" min="5" max="5" width="18.63"/>
  </cols>
  <sheetData>
    <row r="1">
      <c r="A1" s="1" t="s">
        <v>1</v>
      </c>
      <c r="B1" s="1" t="s">
        <v>60</v>
      </c>
      <c r="C1" s="1" t="s">
        <v>61</v>
      </c>
      <c r="D1" s="1" t="s">
        <v>62</v>
      </c>
      <c r="E1" s="1" t="s">
        <v>63</v>
      </c>
      <c r="F1" s="1" t="s">
        <v>25</v>
      </c>
      <c r="G1" s="1" t="s">
        <v>64</v>
      </c>
      <c r="H1" s="1" t="s">
        <v>65</v>
      </c>
    </row>
    <row r="2">
      <c r="A2" s="2" t="s">
        <v>66</v>
      </c>
      <c r="B2" s="2" t="s">
        <v>67</v>
      </c>
      <c r="C2" s="2" t="s">
        <v>68</v>
      </c>
      <c r="D2" s="2">
        <f>6281999121070</f>
        <v>6281999121070</v>
      </c>
      <c r="E2" s="2" t="s">
        <v>76</v>
      </c>
      <c r="F2" s="2" t="s">
        <v>33</v>
      </c>
    </row>
    <row r="3">
      <c r="A3" s="2" t="s">
        <v>74</v>
      </c>
      <c r="B3" s="2" t="s">
        <v>79</v>
      </c>
      <c r="C3" s="2" t="s">
        <v>75</v>
      </c>
      <c r="D3" s="2">
        <f>6281339373384</f>
        <v>6281339373384</v>
      </c>
      <c r="E3" s="2" t="s">
        <v>84</v>
      </c>
      <c r="F3" s="2" t="s">
        <v>33</v>
      </c>
    </row>
    <row r="4">
      <c r="A4" s="2" t="s">
        <v>77</v>
      </c>
      <c r="B4" s="2" t="s">
        <v>87</v>
      </c>
      <c r="C4" s="2" t="s">
        <v>78</v>
      </c>
      <c r="D4" s="2">
        <f>6285174082733</f>
        <v>6285174082733</v>
      </c>
      <c r="E4" s="2" t="s">
        <v>92</v>
      </c>
      <c r="F4" s="2" t="s">
        <v>33</v>
      </c>
    </row>
    <row r="5">
      <c r="A5" s="2" t="s">
        <v>80</v>
      </c>
      <c r="B5" s="2" t="s">
        <v>95</v>
      </c>
      <c r="C5" s="2" t="s">
        <v>81</v>
      </c>
      <c r="D5" s="2">
        <f>6285935011563</f>
        <v>6285935011563</v>
      </c>
      <c r="E5" s="2" t="s">
        <v>104</v>
      </c>
      <c r="F5" s="2" t="s">
        <v>33</v>
      </c>
    </row>
    <row r="6">
      <c r="A6" s="2" t="s">
        <v>82</v>
      </c>
      <c r="B6" s="2" t="s">
        <v>109</v>
      </c>
      <c r="C6" s="2" t="s">
        <v>83</v>
      </c>
      <c r="D6" s="2">
        <f>6285880288696</f>
        <v>6285880288696</v>
      </c>
      <c r="E6" s="2" t="s">
        <v>84</v>
      </c>
      <c r="F6" s="2" t="s">
        <v>33</v>
      </c>
    </row>
    <row r="7">
      <c r="A7" s="2" t="s">
        <v>85</v>
      </c>
      <c r="B7" s="2" t="s">
        <v>119</v>
      </c>
      <c r="C7" s="2" t="s">
        <v>86</v>
      </c>
      <c r="D7" s="2">
        <f>6285137574945</f>
        <v>6285137574945</v>
      </c>
      <c r="E7" s="2" t="s">
        <v>84</v>
      </c>
      <c r="F7" s="2" t="s">
        <v>33</v>
      </c>
    </row>
    <row r="8">
      <c r="A8" s="2" t="s">
        <v>88</v>
      </c>
      <c r="B8" s="2" t="s">
        <v>131</v>
      </c>
      <c r="C8" s="2" t="s">
        <v>89</v>
      </c>
      <c r="D8" s="2">
        <f>6282342475183</f>
        <v>6282342475183</v>
      </c>
      <c r="E8" s="2" t="s">
        <v>84</v>
      </c>
      <c r="F8" s="2" t="s">
        <v>33</v>
      </c>
    </row>
    <row r="9">
      <c r="A9" s="2" t="s">
        <v>90</v>
      </c>
      <c r="B9" s="2" t="s">
        <v>139</v>
      </c>
      <c r="C9" s="2" t="s">
        <v>91</v>
      </c>
      <c r="D9" s="2">
        <f>6282144482504</f>
        <v>6282144482504</v>
      </c>
      <c r="E9" s="2" t="s">
        <v>84</v>
      </c>
      <c r="F9" s="2" t="s">
        <v>33</v>
      </c>
    </row>
    <row r="10">
      <c r="A10" s="2" t="s">
        <v>93</v>
      </c>
      <c r="B10" s="2" t="s">
        <v>145</v>
      </c>
      <c r="C10" s="2" t="s">
        <v>94</v>
      </c>
      <c r="D10" s="2">
        <f>628563806017</f>
        <v>628563806017</v>
      </c>
      <c r="E10" s="2" t="s">
        <v>84</v>
      </c>
      <c r="F10" s="2" t="s">
        <v>33</v>
      </c>
    </row>
    <row r="11">
      <c r="A11" s="2" t="s">
        <v>97</v>
      </c>
      <c r="B11" s="2" t="s">
        <v>149</v>
      </c>
      <c r="C11" s="2" t="s">
        <v>98</v>
      </c>
      <c r="D11" s="2">
        <f>6285739989993</f>
        <v>6285739989993</v>
      </c>
      <c r="E11" s="2" t="s">
        <v>84</v>
      </c>
      <c r="F11" s="2" t="s">
        <v>33</v>
      </c>
    </row>
    <row r="12">
      <c r="A12" s="2" t="s">
        <v>99</v>
      </c>
      <c r="B12" s="2" t="s">
        <v>150</v>
      </c>
      <c r="C12" s="2" t="s">
        <v>100</v>
      </c>
      <c r="D12" s="2">
        <f>6285237099977</f>
        <v>6285237099977</v>
      </c>
      <c r="E12" s="2" t="s">
        <v>151</v>
      </c>
      <c r="F12" s="2" t="s">
        <v>33</v>
      </c>
    </row>
    <row r="13">
      <c r="A13" s="2" t="s">
        <v>102</v>
      </c>
      <c r="B13" s="2" t="s">
        <v>152</v>
      </c>
      <c r="C13" s="2" t="s">
        <v>103</v>
      </c>
      <c r="D13" s="2">
        <f>6285904313161</f>
        <v>6285904313161</v>
      </c>
      <c r="E13" s="2" t="s">
        <v>84</v>
      </c>
      <c r="F13" s="2" t="s">
        <v>33</v>
      </c>
    </row>
    <row r="14">
      <c r="A14" s="2" t="s">
        <v>105</v>
      </c>
      <c r="B14" s="2" t="s">
        <v>153</v>
      </c>
      <c r="C14" s="2" t="s">
        <v>106</v>
      </c>
      <c r="D14" s="2">
        <v>6.2878616273E12</v>
      </c>
      <c r="E14" s="2" t="s">
        <v>154</v>
      </c>
      <c r="F14" s="2" t="s">
        <v>33</v>
      </c>
    </row>
    <row r="15">
      <c r="A15" s="2" t="s">
        <v>108</v>
      </c>
      <c r="B15" s="2" t="s">
        <v>155</v>
      </c>
      <c r="C15" s="2" t="s">
        <v>111</v>
      </c>
      <c r="D15" s="2">
        <f>6281238027674</f>
        <v>6281238027674</v>
      </c>
      <c r="E15" s="2" t="s">
        <v>84</v>
      </c>
      <c r="F15" s="2" t="s">
        <v>33</v>
      </c>
    </row>
    <row r="16">
      <c r="A16" s="2" t="s">
        <v>112</v>
      </c>
      <c r="B16" s="2" t="s">
        <v>156</v>
      </c>
      <c r="C16" s="2" t="s">
        <v>113</v>
      </c>
      <c r="D16" s="2">
        <f>6285739318855</f>
        <v>6285739318855</v>
      </c>
      <c r="E16" s="2" t="s">
        <v>84</v>
      </c>
      <c r="F16" s="2" t="s">
        <v>33</v>
      </c>
    </row>
    <row r="17">
      <c r="A17" s="2" t="s">
        <v>114</v>
      </c>
      <c r="B17" s="2" t="s">
        <v>157</v>
      </c>
      <c r="C17" s="2" t="s">
        <v>37</v>
      </c>
      <c r="D17" s="2">
        <f>6285792372336</f>
        <v>6285792372336</v>
      </c>
      <c r="E17" s="2" t="s">
        <v>84</v>
      </c>
      <c r="F17" s="2" t="s">
        <v>33</v>
      </c>
    </row>
    <row r="18">
      <c r="A18" s="2" t="s">
        <v>115</v>
      </c>
      <c r="B18" s="2" t="s">
        <v>158</v>
      </c>
      <c r="C18" s="2" t="s">
        <v>116</v>
      </c>
      <c r="D18" s="2">
        <f>6282237861488</f>
        <v>6282237861488</v>
      </c>
      <c r="E18" s="2" t="s">
        <v>84</v>
      </c>
      <c r="F18" s="2" t="s">
        <v>33</v>
      </c>
    </row>
    <row r="19">
      <c r="A19" s="2" t="s">
        <v>117</v>
      </c>
      <c r="B19" s="2" t="s">
        <v>159</v>
      </c>
      <c r="C19" s="2" t="s">
        <v>118</v>
      </c>
      <c r="D19" s="2">
        <f>6282146059380</f>
        <v>6282146059380</v>
      </c>
      <c r="E19" s="2" t="s">
        <v>160</v>
      </c>
      <c r="F19" s="2" t="s">
        <v>33</v>
      </c>
    </row>
    <row r="20">
      <c r="A20" s="2" t="s">
        <v>120</v>
      </c>
      <c r="B20" s="2" t="s">
        <v>161</v>
      </c>
      <c r="C20" s="2" t="s">
        <v>28</v>
      </c>
      <c r="D20" s="2">
        <f>6281999398988</f>
        <v>6281999398988</v>
      </c>
      <c r="E20" s="2" t="s">
        <v>162</v>
      </c>
      <c r="F20" s="2" t="s">
        <v>33</v>
      </c>
    </row>
    <row r="21">
      <c r="A21" s="2" t="s">
        <v>123</v>
      </c>
      <c r="B21" s="2" t="s">
        <v>163</v>
      </c>
      <c r="C21" s="2" t="s">
        <v>124</v>
      </c>
      <c r="D21" s="2">
        <f>6282146428312</f>
        <v>6282146428312</v>
      </c>
      <c r="E21" s="2" t="s">
        <v>84</v>
      </c>
      <c r="F21" s="2" t="s">
        <v>33</v>
      </c>
    </row>
    <row r="22">
      <c r="A22" s="2" t="s">
        <v>129</v>
      </c>
      <c r="B22" s="2" t="s">
        <v>164</v>
      </c>
      <c r="C22" s="2" t="s">
        <v>132</v>
      </c>
      <c r="D22" s="2">
        <f>628123889447</f>
        <v>628123889447</v>
      </c>
      <c r="E22" s="2" t="s">
        <v>151</v>
      </c>
      <c r="F22" s="2" t="s">
        <v>33</v>
      </c>
    </row>
    <row r="23">
      <c r="A23" s="2" t="s">
        <v>133</v>
      </c>
      <c r="B23" s="2" t="s">
        <v>165</v>
      </c>
      <c r="C23" s="2" t="s">
        <v>134</v>
      </c>
      <c r="D23" s="2">
        <f>6281338763070</f>
        <v>6281338763070</v>
      </c>
      <c r="E23" s="2" t="s">
        <v>84</v>
      </c>
      <c r="F23" s="2" t="s">
        <v>33</v>
      </c>
    </row>
    <row r="24">
      <c r="A24" s="2" t="s">
        <v>135</v>
      </c>
      <c r="B24" s="2" t="s">
        <v>166</v>
      </c>
      <c r="C24" s="2" t="s">
        <v>136</v>
      </c>
      <c r="D24" s="2">
        <f>62881037259951</f>
        <v>62881037259951</v>
      </c>
      <c r="E24" s="2" t="s">
        <v>84</v>
      </c>
      <c r="F24" s="2" t="s">
        <v>33</v>
      </c>
    </row>
    <row r="25">
      <c r="A25" s="2" t="s">
        <v>137</v>
      </c>
      <c r="B25" s="2" t="s">
        <v>167</v>
      </c>
      <c r="C25" s="2" t="s">
        <v>138</v>
      </c>
      <c r="D25" s="2">
        <f>6287766607395</f>
        <v>6287766607395</v>
      </c>
      <c r="E25" s="2" t="s">
        <v>168</v>
      </c>
      <c r="F25" s="2" t="s">
        <v>33</v>
      </c>
    </row>
    <row r="26">
      <c r="A26" s="2" t="s">
        <v>140</v>
      </c>
      <c r="B26" s="2" t="s">
        <v>169</v>
      </c>
      <c r="C26" s="2" t="s">
        <v>141</v>
      </c>
      <c r="D26" s="2">
        <v>6.28594132695E12</v>
      </c>
      <c r="E26" s="2" t="s">
        <v>170</v>
      </c>
      <c r="F26" s="2" t="s">
        <v>33</v>
      </c>
    </row>
    <row r="27">
      <c r="A27" s="2" t="s">
        <v>142</v>
      </c>
      <c r="B27" s="2" t="s">
        <v>171</v>
      </c>
      <c r="C27" s="2" t="s">
        <v>143</v>
      </c>
      <c r="D27" s="2">
        <f>6281999052554</f>
        <v>6281999052554</v>
      </c>
      <c r="E27" s="2" t="s">
        <v>104</v>
      </c>
      <c r="F27" s="2" t="s">
        <v>33</v>
      </c>
    </row>
    <row r="28">
      <c r="A28" s="2" t="s">
        <v>144</v>
      </c>
      <c r="B28" s="2" t="s">
        <v>172</v>
      </c>
      <c r="C28" s="2" t="s">
        <v>146</v>
      </c>
      <c r="D28" s="2">
        <v>6.28194328676E12</v>
      </c>
      <c r="E28" s="2" t="s">
        <v>84</v>
      </c>
      <c r="F28" s="2" t="s">
        <v>33</v>
      </c>
    </row>
    <row r="29">
      <c r="A29" s="2" t="s">
        <v>147</v>
      </c>
      <c r="B29" s="2" t="s">
        <v>173</v>
      </c>
      <c r="C29" s="2" t="s">
        <v>148</v>
      </c>
      <c r="D29" s="2">
        <f>6289515461829</f>
        <v>6289515461829</v>
      </c>
      <c r="E29" s="2" t="s">
        <v>174</v>
      </c>
      <c r="F29" s="2" t="s">
        <v>33</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88"/>
    <col customWidth="1" min="2" max="2" width="28.13"/>
    <col customWidth="1" min="3" max="3" width="18.5"/>
    <col customWidth="1" min="4" max="4" width="22.0"/>
    <col customWidth="1" min="5" max="5" width="21.63"/>
  </cols>
  <sheetData>
    <row r="1">
      <c r="A1" s="1" t="s">
        <v>69</v>
      </c>
      <c r="B1" s="1" t="s">
        <v>70</v>
      </c>
      <c r="C1" s="1" t="s">
        <v>71</v>
      </c>
      <c r="D1" s="1" t="s">
        <v>72</v>
      </c>
      <c r="E1" s="5" t="s">
        <v>73</v>
      </c>
    </row>
    <row r="2">
      <c r="A2" s="2" t="s">
        <v>66</v>
      </c>
      <c r="B2" s="2" t="s">
        <v>68</v>
      </c>
      <c r="C2" s="2">
        <v>0.0</v>
      </c>
      <c r="D2" s="3">
        <v>0.0</v>
      </c>
      <c r="E2" s="5">
        <v>0.0</v>
      </c>
    </row>
    <row r="3">
      <c r="A3" s="2" t="s">
        <v>74</v>
      </c>
      <c r="B3" s="2" t="s">
        <v>75</v>
      </c>
      <c r="C3" s="2">
        <v>0.0</v>
      </c>
      <c r="D3" s="3">
        <v>0.0</v>
      </c>
      <c r="E3" s="5">
        <v>0.0</v>
      </c>
    </row>
    <row r="4">
      <c r="A4" s="2" t="s">
        <v>77</v>
      </c>
      <c r="B4" s="2" t="s">
        <v>78</v>
      </c>
      <c r="C4" s="2">
        <v>30000.0</v>
      </c>
      <c r="D4" s="3">
        <v>0.0</v>
      </c>
      <c r="E4" s="5">
        <v>45000.0</v>
      </c>
    </row>
    <row r="5">
      <c r="A5" s="2" t="s">
        <v>80</v>
      </c>
      <c r="B5" s="2" t="s">
        <v>81</v>
      </c>
      <c r="C5" s="2">
        <v>0.0</v>
      </c>
      <c r="D5" s="3">
        <v>0.0</v>
      </c>
      <c r="E5" s="5">
        <v>0.0</v>
      </c>
    </row>
    <row r="6">
      <c r="A6" s="2" t="s">
        <v>82</v>
      </c>
      <c r="B6" s="2" t="s">
        <v>83</v>
      </c>
      <c r="C6" s="2">
        <v>0.0</v>
      </c>
      <c r="D6" s="3">
        <v>0.0</v>
      </c>
      <c r="E6" s="5">
        <v>0.0</v>
      </c>
    </row>
    <row r="7">
      <c r="A7" s="2" t="s">
        <v>85</v>
      </c>
      <c r="B7" s="2" t="s">
        <v>86</v>
      </c>
      <c r="C7" s="2">
        <v>0.0</v>
      </c>
      <c r="D7" s="3">
        <v>0.0</v>
      </c>
      <c r="E7" s="5">
        <v>75000.0</v>
      </c>
    </row>
    <row r="8">
      <c r="A8" s="2" t="s">
        <v>88</v>
      </c>
      <c r="B8" s="2" t="s">
        <v>89</v>
      </c>
      <c r="C8" s="2">
        <v>0.0</v>
      </c>
      <c r="D8" s="3">
        <v>0.0</v>
      </c>
      <c r="E8" s="5">
        <v>0.0</v>
      </c>
    </row>
    <row r="9">
      <c r="A9" s="2" t="s">
        <v>90</v>
      </c>
      <c r="B9" s="2" t="s">
        <v>91</v>
      </c>
      <c r="C9" s="2">
        <v>0.0</v>
      </c>
      <c r="D9" s="3">
        <v>0.0</v>
      </c>
      <c r="E9" s="5">
        <v>0.0</v>
      </c>
    </row>
    <row r="10">
      <c r="A10" s="2" t="s">
        <v>93</v>
      </c>
      <c r="B10" s="2" t="s">
        <v>94</v>
      </c>
      <c r="C10" s="2">
        <v>190000.0</v>
      </c>
      <c r="D10" s="3">
        <v>0.0</v>
      </c>
      <c r="E10" s="5">
        <v>70000.0</v>
      </c>
    </row>
    <row r="11">
      <c r="A11" s="2" t="s">
        <v>97</v>
      </c>
      <c r="B11" s="2" t="s">
        <v>98</v>
      </c>
      <c r="C11" s="2">
        <v>200000.0</v>
      </c>
      <c r="D11" s="3">
        <v>0.0</v>
      </c>
      <c r="E11" s="5">
        <v>45000.0</v>
      </c>
    </row>
    <row r="12">
      <c r="A12" s="2" t="s">
        <v>99</v>
      </c>
      <c r="B12" s="2" t="s">
        <v>100</v>
      </c>
      <c r="C12" s="2">
        <v>0.0</v>
      </c>
      <c r="D12" s="3">
        <v>0.0</v>
      </c>
      <c r="E12" s="5">
        <v>0.0</v>
      </c>
    </row>
    <row r="13">
      <c r="A13" s="2" t="s">
        <v>102</v>
      </c>
      <c r="B13" s="2" t="s">
        <v>103</v>
      </c>
      <c r="C13" s="2">
        <v>0.0</v>
      </c>
      <c r="D13" s="3">
        <v>0.0</v>
      </c>
      <c r="E13" s="5">
        <v>15000.0</v>
      </c>
    </row>
    <row r="14">
      <c r="A14" s="2" t="s">
        <v>105</v>
      </c>
      <c r="B14" s="2" t="s">
        <v>106</v>
      </c>
      <c r="C14" s="2">
        <v>0.0</v>
      </c>
      <c r="D14" s="3">
        <v>0.0</v>
      </c>
      <c r="E14" s="5">
        <v>0.0</v>
      </c>
    </row>
    <row r="15">
      <c r="A15" s="2" t="s">
        <v>108</v>
      </c>
      <c r="B15" s="2" t="s">
        <v>111</v>
      </c>
      <c r="C15" s="2">
        <v>0.0</v>
      </c>
      <c r="D15" s="3">
        <v>0.0</v>
      </c>
      <c r="E15" s="5">
        <v>0.0</v>
      </c>
    </row>
    <row r="16">
      <c r="A16" s="2" t="s">
        <v>112</v>
      </c>
      <c r="B16" s="2" t="s">
        <v>113</v>
      </c>
      <c r="C16" s="2">
        <v>0.0</v>
      </c>
      <c r="D16" s="3">
        <v>0.0</v>
      </c>
      <c r="E16" s="5">
        <v>0.0</v>
      </c>
    </row>
    <row r="17">
      <c r="A17" s="2" t="s">
        <v>114</v>
      </c>
      <c r="B17" s="2" t="s">
        <v>37</v>
      </c>
      <c r="C17" s="2">
        <v>0.0</v>
      </c>
      <c r="D17" s="3">
        <v>0.0</v>
      </c>
      <c r="E17" s="5">
        <v>0.0</v>
      </c>
    </row>
    <row r="18">
      <c r="A18" s="2" t="s">
        <v>115</v>
      </c>
      <c r="B18" s="2" t="s">
        <v>116</v>
      </c>
      <c r="C18" s="2">
        <v>0.0</v>
      </c>
      <c r="D18" s="3">
        <v>0.0</v>
      </c>
      <c r="E18" s="5">
        <v>0.0</v>
      </c>
    </row>
    <row r="19">
      <c r="A19" s="2" t="s">
        <v>117</v>
      </c>
      <c r="B19" s="2" t="s">
        <v>118</v>
      </c>
      <c r="C19" s="2">
        <v>180000.0</v>
      </c>
      <c r="D19" s="3">
        <v>0.0</v>
      </c>
      <c r="E19" s="5">
        <v>105000.0</v>
      </c>
    </row>
    <row r="20">
      <c r="A20" s="2" t="s">
        <v>120</v>
      </c>
      <c r="B20" s="2" t="s">
        <v>28</v>
      </c>
      <c r="C20" s="2">
        <v>0.0</v>
      </c>
      <c r="D20" s="3">
        <v>0.0</v>
      </c>
      <c r="E20" s="5">
        <v>0.0</v>
      </c>
    </row>
    <row r="21">
      <c r="A21" s="2" t="s">
        <v>123</v>
      </c>
      <c r="B21" s="2" t="s">
        <v>124</v>
      </c>
      <c r="C21" s="2">
        <v>180000.0</v>
      </c>
      <c r="D21" s="3">
        <v>0.0</v>
      </c>
      <c r="E21" s="5">
        <v>55000.0</v>
      </c>
    </row>
    <row r="22">
      <c r="A22" s="2" t="s">
        <v>129</v>
      </c>
      <c r="B22" s="2" t="s">
        <v>132</v>
      </c>
      <c r="C22" s="3">
        <v>0.0</v>
      </c>
      <c r="D22" s="3">
        <v>0.0</v>
      </c>
      <c r="E22" s="5">
        <v>0.0</v>
      </c>
      <c r="G22" s="7"/>
    </row>
    <row r="23">
      <c r="A23" s="2" t="s">
        <v>133</v>
      </c>
      <c r="B23" s="2" t="s">
        <v>134</v>
      </c>
      <c r="C23" s="3">
        <v>0.0</v>
      </c>
      <c r="D23" s="3">
        <v>0.0</v>
      </c>
      <c r="E23" s="5">
        <v>0.0</v>
      </c>
    </row>
    <row r="24">
      <c r="A24" s="2" t="s">
        <v>135</v>
      </c>
      <c r="B24" s="2" t="s">
        <v>136</v>
      </c>
      <c r="C24" s="2">
        <v>0.0</v>
      </c>
      <c r="D24" s="3">
        <v>0.0</v>
      </c>
      <c r="E24" s="5">
        <v>0.0</v>
      </c>
    </row>
    <row r="25">
      <c r="A25" s="2" t="s">
        <v>137</v>
      </c>
      <c r="B25" s="2" t="s">
        <v>138</v>
      </c>
      <c r="C25" s="2">
        <v>270000.0</v>
      </c>
      <c r="D25" s="3">
        <v>0.0</v>
      </c>
      <c r="E25" s="5">
        <v>105000.0</v>
      </c>
    </row>
    <row r="26">
      <c r="A26" s="2" t="s">
        <v>140</v>
      </c>
      <c r="B26" s="2" t="s">
        <v>141</v>
      </c>
      <c r="C26" s="2">
        <v>270000.0</v>
      </c>
      <c r="D26" s="3">
        <v>0.0</v>
      </c>
      <c r="E26" s="5">
        <v>105000.0</v>
      </c>
    </row>
    <row r="27">
      <c r="A27" s="2" t="s">
        <v>142</v>
      </c>
      <c r="B27" s="2" t="s">
        <v>143</v>
      </c>
      <c r="C27" s="2">
        <v>0.0</v>
      </c>
      <c r="D27" s="3">
        <v>0.0</v>
      </c>
      <c r="E27" s="5">
        <v>0.0</v>
      </c>
    </row>
    <row r="28">
      <c r="A28" s="2" t="s">
        <v>144</v>
      </c>
      <c r="B28" s="2" t="s">
        <v>146</v>
      </c>
      <c r="C28" s="2">
        <v>0.0</v>
      </c>
      <c r="D28" s="3">
        <v>0.0</v>
      </c>
      <c r="E28" s="5">
        <v>0.0</v>
      </c>
    </row>
    <row r="29">
      <c r="A29" s="2" t="s">
        <v>147</v>
      </c>
      <c r="B29" s="2" t="s">
        <v>148</v>
      </c>
      <c r="C29" s="2">
        <v>0.0</v>
      </c>
      <c r="D29" s="3">
        <v>0.0</v>
      </c>
      <c r="E29" s="5">
        <v>0.0</v>
      </c>
    </row>
    <row r="30">
      <c r="E30" s="8"/>
    </row>
    <row r="31">
      <c r="E31" s="8"/>
    </row>
    <row r="32">
      <c r="E32" s="8"/>
    </row>
    <row r="33">
      <c r="E33" s="8"/>
    </row>
    <row r="34">
      <c r="E34" s="8"/>
    </row>
    <row r="35">
      <c r="E35" s="8"/>
    </row>
    <row r="36">
      <c r="E36" s="8"/>
    </row>
    <row r="37">
      <c r="E37" s="8"/>
    </row>
    <row r="38">
      <c r="E38" s="8"/>
    </row>
    <row r="39">
      <c r="E39" s="8"/>
    </row>
    <row r="40">
      <c r="E40" s="8"/>
    </row>
    <row r="41">
      <c r="E41" s="8"/>
    </row>
    <row r="42">
      <c r="E42" s="8"/>
    </row>
    <row r="43">
      <c r="E43" s="8"/>
    </row>
    <row r="44">
      <c r="E44" s="8"/>
    </row>
    <row r="45">
      <c r="E45" s="8"/>
    </row>
    <row r="46">
      <c r="E46" s="8"/>
    </row>
    <row r="47">
      <c r="E47" s="8"/>
    </row>
    <row r="48">
      <c r="E48" s="8"/>
    </row>
    <row r="49">
      <c r="E49" s="8"/>
    </row>
    <row r="50">
      <c r="E50" s="8"/>
    </row>
    <row r="51">
      <c r="E51" s="8"/>
    </row>
    <row r="52">
      <c r="E52" s="8"/>
    </row>
    <row r="53">
      <c r="E53" s="8"/>
    </row>
    <row r="54">
      <c r="E54" s="8"/>
    </row>
    <row r="55">
      <c r="E55" s="8"/>
    </row>
    <row r="56">
      <c r="E56" s="8"/>
    </row>
    <row r="57">
      <c r="E57" s="8"/>
    </row>
    <row r="58">
      <c r="E58" s="8"/>
    </row>
    <row r="59">
      <c r="E59" s="8"/>
    </row>
    <row r="60">
      <c r="E60" s="8"/>
    </row>
    <row r="61">
      <c r="E61" s="8"/>
    </row>
    <row r="62">
      <c r="E62" s="8"/>
    </row>
    <row r="63">
      <c r="E63" s="8"/>
    </row>
    <row r="64">
      <c r="E64" s="8"/>
    </row>
    <row r="65">
      <c r="E65" s="8"/>
    </row>
    <row r="66">
      <c r="E66" s="8"/>
    </row>
    <row r="67">
      <c r="E67" s="8"/>
    </row>
    <row r="68">
      <c r="E68" s="8"/>
    </row>
    <row r="69">
      <c r="E69" s="8"/>
    </row>
    <row r="70">
      <c r="E70" s="8"/>
    </row>
    <row r="71">
      <c r="E71" s="8"/>
    </row>
    <row r="72">
      <c r="E72" s="8"/>
    </row>
    <row r="73">
      <c r="E73" s="8"/>
    </row>
    <row r="74">
      <c r="E74" s="8"/>
    </row>
    <row r="75">
      <c r="E75" s="8"/>
    </row>
    <row r="76">
      <c r="E76" s="8"/>
    </row>
    <row r="77">
      <c r="E77" s="8"/>
    </row>
    <row r="78">
      <c r="E78" s="8"/>
    </row>
    <row r="79">
      <c r="E79" s="8"/>
    </row>
    <row r="80">
      <c r="E80" s="8"/>
    </row>
    <row r="81">
      <c r="E81" s="8"/>
    </row>
    <row r="82">
      <c r="E82" s="8"/>
    </row>
    <row r="83">
      <c r="E83" s="8"/>
    </row>
    <row r="84">
      <c r="E84" s="8"/>
    </row>
    <row r="85">
      <c r="E85" s="8"/>
    </row>
    <row r="86">
      <c r="E86" s="8"/>
    </row>
    <row r="87">
      <c r="E87" s="8"/>
    </row>
    <row r="88">
      <c r="E88" s="8"/>
    </row>
    <row r="89">
      <c r="E89" s="8"/>
    </row>
    <row r="90">
      <c r="E90" s="8"/>
    </row>
    <row r="91">
      <c r="E91" s="8"/>
    </row>
    <row r="92">
      <c r="E92" s="8"/>
    </row>
    <row r="93">
      <c r="E93" s="8"/>
    </row>
    <row r="94">
      <c r="E94" s="8"/>
    </row>
    <row r="95">
      <c r="E95" s="8"/>
    </row>
    <row r="96">
      <c r="E96" s="8"/>
    </row>
    <row r="97">
      <c r="E97" s="8"/>
    </row>
    <row r="98">
      <c r="E98" s="8"/>
    </row>
    <row r="99">
      <c r="E99" s="8"/>
    </row>
    <row r="100">
      <c r="E100" s="8"/>
    </row>
    <row r="101">
      <c r="E101" s="8"/>
    </row>
    <row r="102">
      <c r="E102" s="8"/>
    </row>
    <row r="103">
      <c r="E103" s="8"/>
    </row>
    <row r="104">
      <c r="E104" s="8"/>
    </row>
    <row r="105">
      <c r="E105" s="8"/>
    </row>
    <row r="106">
      <c r="E106" s="8"/>
    </row>
    <row r="107">
      <c r="E107" s="8"/>
    </row>
    <row r="108">
      <c r="E108" s="8"/>
    </row>
    <row r="109">
      <c r="E109" s="8"/>
    </row>
    <row r="110">
      <c r="E110" s="8"/>
    </row>
    <row r="111">
      <c r="E111" s="8"/>
    </row>
    <row r="112">
      <c r="E112" s="8"/>
    </row>
    <row r="113">
      <c r="E113" s="8"/>
    </row>
    <row r="114">
      <c r="E114" s="8"/>
    </row>
    <row r="115">
      <c r="E115" s="8"/>
    </row>
    <row r="116">
      <c r="E116" s="8"/>
    </row>
    <row r="117">
      <c r="E117" s="8"/>
    </row>
    <row r="118">
      <c r="E118" s="8"/>
    </row>
    <row r="119">
      <c r="E119" s="8"/>
    </row>
    <row r="120">
      <c r="E120" s="8"/>
    </row>
    <row r="121">
      <c r="E121" s="8"/>
    </row>
    <row r="122">
      <c r="E122" s="8"/>
    </row>
    <row r="123">
      <c r="E123" s="8"/>
    </row>
    <row r="124">
      <c r="E124" s="8"/>
    </row>
    <row r="125">
      <c r="E125" s="8"/>
    </row>
    <row r="126">
      <c r="E126" s="8"/>
    </row>
    <row r="127">
      <c r="E127" s="8"/>
    </row>
    <row r="128">
      <c r="E128" s="8"/>
    </row>
    <row r="129">
      <c r="E129" s="8"/>
    </row>
    <row r="130">
      <c r="E130" s="8"/>
    </row>
    <row r="131">
      <c r="E131" s="8"/>
    </row>
    <row r="132">
      <c r="E132" s="8"/>
    </row>
    <row r="133">
      <c r="E133" s="8"/>
    </row>
    <row r="134">
      <c r="E134" s="8"/>
    </row>
    <row r="135">
      <c r="E135" s="8"/>
    </row>
    <row r="136">
      <c r="E136" s="8"/>
    </row>
    <row r="137">
      <c r="E137" s="8"/>
    </row>
    <row r="138">
      <c r="E138" s="8"/>
    </row>
    <row r="139">
      <c r="E139" s="8"/>
    </row>
    <row r="140">
      <c r="E140" s="8"/>
    </row>
    <row r="141">
      <c r="E141" s="8"/>
    </row>
    <row r="142">
      <c r="E142" s="8"/>
    </row>
    <row r="143">
      <c r="E143" s="8"/>
    </row>
    <row r="144">
      <c r="E144" s="8"/>
    </row>
    <row r="145">
      <c r="E145" s="8"/>
    </row>
    <row r="146">
      <c r="E146" s="8"/>
    </row>
    <row r="147">
      <c r="E147" s="8"/>
    </row>
    <row r="148">
      <c r="E148" s="8"/>
    </row>
    <row r="149">
      <c r="E149" s="8"/>
    </row>
    <row r="150">
      <c r="E150" s="8"/>
    </row>
    <row r="151">
      <c r="E151" s="8"/>
    </row>
    <row r="152">
      <c r="E152" s="8"/>
    </row>
    <row r="153">
      <c r="E153" s="8"/>
    </row>
    <row r="154">
      <c r="E154" s="8"/>
    </row>
    <row r="155">
      <c r="E155" s="8"/>
    </row>
    <row r="156">
      <c r="E156" s="8"/>
    </row>
    <row r="157">
      <c r="E157" s="8"/>
    </row>
    <row r="158">
      <c r="E158" s="8"/>
    </row>
    <row r="159">
      <c r="E159" s="8"/>
    </row>
    <row r="160">
      <c r="E160" s="8"/>
    </row>
    <row r="161">
      <c r="E161" s="8"/>
    </row>
    <row r="162">
      <c r="E162" s="8"/>
    </row>
    <row r="163">
      <c r="E163" s="8"/>
    </row>
    <row r="164">
      <c r="E164" s="8"/>
    </row>
    <row r="165">
      <c r="E165" s="8"/>
    </row>
    <row r="166">
      <c r="E166" s="8"/>
    </row>
    <row r="167">
      <c r="E167" s="8"/>
    </row>
    <row r="168">
      <c r="E168" s="8"/>
    </row>
    <row r="169">
      <c r="E169" s="8"/>
    </row>
    <row r="170">
      <c r="E170" s="8"/>
    </row>
    <row r="171">
      <c r="E171" s="8"/>
    </row>
    <row r="172">
      <c r="E172" s="8"/>
    </row>
    <row r="173">
      <c r="E173" s="8"/>
    </row>
    <row r="174">
      <c r="E174" s="8"/>
    </row>
    <row r="175">
      <c r="E175" s="8"/>
    </row>
    <row r="176">
      <c r="E176" s="8"/>
    </row>
    <row r="177">
      <c r="E177" s="8"/>
    </row>
    <row r="178">
      <c r="E178" s="8"/>
    </row>
    <row r="179">
      <c r="E179" s="8"/>
    </row>
    <row r="180">
      <c r="E180" s="8"/>
    </row>
    <row r="181">
      <c r="E181" s="8"/>
    </row>
    <row r="182">
      <c r="E182" s="8"/>
    </row>
    <row r="183">
      <c r="E183" s="8"/>
    </row>
    <row r="184">
      <c r="E184" s="8"/>
    </row>
    <row r="185">
      <c r="E185" s="8"/>
    </row>
    <row r="186">
      <c r="E186" s="8"/>
    </row>
    <row r="187">
      <c r="E187" s="8"/>
    </row>
    <row r="188">
      <c r="E188" s="8"/>
    </row>
    <row r="189">
      <c r="E189" s="8"/>
    </row>
    <row r="190">
      <c r="E190" s="8"/>
    </row>
    <row r="191">
      <c r="E191" s="8"/>
    </row>
    <row r="192">
      <c r="E192" s="8"/>
    </row>
    <row r="193">
      <c r="E193" s="8"/>
    </row>
    <row r="194">
      <c r="E194" s="8"/>
    </row>
    <row r="195">
      <c r="E195" s="8"/>
    </row>
    <row r="196">
      <c r="E196" s="8"/>
    </row>
    <row r="197">
      <c r="E197" s="8"/>
    </row>
    <row r="198">
      <c r="E198" s="8"/>
    </row>
    <row r="199">
      <c r="E199" s="8"/>
    </row>
    <row r="200">
      <c r="E200" s="8"/>
    </row>
    <row r="201">
      <c r="E201" s="8"/>
    </row>
    <row r="202">
      <c r="E202" s="8"/>
    </row>
    <row r="203">
      <c r="E203" s="8"/>
    </row>
    <row r="204">
      <c r="E204" s="8"/>
    </row>
    <row r="205">
      <c r="E205" s="8"/>
    </row>
    <row r="206">
      <c r="E206" s="8"/>
    </row>
    <row r="207">
      <c r="E207" s="8"/>
    </row>
    <row r="208">
      <c r="E208" s="8"/>
    </row>
    <row r="209">
      <c r="E209" s="8"/>
    </row>
    <row r="210">
      <c r="E210" s="8"/>
    </row>
    <row r="211">
      <c r="E211" s="8"/>
    </row>
    <row r="212">
      <c r="E212" s="8"/>
    </row>
    <row r="213">
      <c r="E213" s="8"/>
    </row>
    <row r="214">
      <c r="E214" s="8"/>
    </row>
    <row r="215">
      <c r="E215" s="8"/>
    </row>
    <row r="216">
      <c r="E216" s="8"/>
    </row>
    <row r="217">
      <c r="E217" s="8"/>
    </row>
    <row r="218">
      <c r="E218" s="8"/>
    </row>
    <row r="219">
      <c r="E219" s="8"/>
    </row>
    <row r="220">
      <c r="E220" s="8"/>
    </row>
    <row r="221">
      <c r="E221" s="8"/>
    </row>
    <row r="222">
      <c r="E222" s="8"/>
    </row>
    <row r="223">
      <c r="E223" s="8"/>
    </row>
    <row r="224">
      <c r="E224" s="8"/>
    </row>
    <row r="225">
      <c r="E225" s="8"/>
    </row>
    <row r="226">
      <c r="E226" s="8"/>
    </row>
    <row r="227">
      <c r="E227" s="8"/>
    </row>
    <row r="228">
      <c r="E228" s="8"/>
    </row>
    <row r="229">
      <c r="E229" s="8"/>
    </row>
    <row r="230">
      <c r="E230" s="8"/>
    </row>
    <row r="231">
      <c r="E231" s="8"/>
    </row>
    <row r="232">
      <c r="E232" s="8"/>
    </row>
    <row r="233">
      <c r="E233" s="8"/>
    </row>
    <row r="234">
      <c r="E234" s="8"/>
    </row>
    <row r="235">
      <c r="E235" s="8"/>
    </row>
    <row r="236">
      <c r="E236" s="8"/>
    </row>
    <row r="237">
      <c r="E237" s="8"/>
    </row>
    <row r="238">
      <c r="E238" s="8"/>
    </row>
    <row r="239">
      <c r="E239" s="8"/>
    </row>
    <row r="240">
      <c r="E240" s="8"/>
    </row>
    <row r="241">
      <c r="E241" s="8"/>
    </row>
    <row r="242">
      <c r="E242" s="8"/>
    </row>
    <row r="243">
      <c r="E243" s="8"/>
    </row>
    <row r="244">
      <c r="E244" s="8"/>
    </row>
    <row r="245">
      <c r="E245" s="8"/>
    </row>
    <row r="246">
      <c r="E246" s="8"/>
    </row>
    <row r="247">
      <c r="E247" s="8"/>
    </row>
    <row r="248">
      <c r="E248" s="8"/>
    </row>
    <row r="249">
      <c r="E249" s="8"/>
    </row>
    <row r="250">
      <c r="E250" s="8"/>
    </row>
    <row r="251">
      <c r="E251" s="8"/>
    </row>
    <row r="252">
      <c r="E252" s="8"/>
    </row>
    <row r="253">
      <c r="E253" s="8"/>
    </row>
    <row r="254">
      <c r="E254" s="8"/>
    </row>
    <row r="255">
      <c r="E255" s="8"/>
    </row>
    <row r="256">
      <c r="E256" s="8"/>
    </row>
    <row r="257">
      <c r="E257" s="8"/>
    </row>
    <row r="258">
      <c r="E258" s="8"/>
    </row>
    <row r="259">
      <c r="E259" s="8"/>
    </row>
    <row r="260">
      <c r="E260" s="8"/>
    </row>
    <row r="261">
      <c r="E261" s="8"/>
    </row>
    <row r="262">
      <c r="E262" s="8"/>
    </row>
    <row r="263">
      <c r="E263" s="8"/>
    </row>
    <row r="264">
      <c r="E264" s="8"/>
    </row>
    <row r="265">
      <c r="E265" s="8"/>
    </row>
    <row r="266">
      <c r="E266" s="8"/>
    </row>
    <row r="267">
      <c r="E267" s="8"/>
    </row>
    <row r="268">
      <c r="E268" s="8"/>
    </row>
    <row r="269">
      <c r="E269" s="8"/>
    </row>
    <row r="270">
      <c r="E270" s="8"/>
    </row>
    <row r="271">
      <c r="E271" s="8"/>
    </row>
    <row r="272">
      <c r="E272" s="8"/>
    </row>
    <row r="273">
      <c r="E273" s="8"/>
    </row>
    <row r="274">
      <c r="E274" s="8"/>
    </row>
    <row r="275">
      <c r="E275" s="8"/>
    </row>
    <row r="276">
      <c r="E276" s="8"/>
    </row>
    <row r="277">
      <c r="E277" s="8"/>
    </row>
    <row r="278">
      <c r="E278" s="8"/>
    </row>
    <row r="279">
      <c r="E279" s="8"/>
    </row>
    <row r="280">
      <c r="E280" s="8"/>
    </row>
    <row r="281">
      <c r="E281" s="8"/>
    </row>
    <row r="282">
      <c r="E282" s="8"/>
    </row>
    <row r="283">
      <c r="E283" s="8"/>
    </row>
    <row r="284">
      <c r="E284" s="8"/>
    </row>
    <row r="285">
      <c r="E285" s="8"/>
    </row>
    <row r="286">
      <c r="E286" s="8"/>
    </row>
    <row r="287">
      <c r="E287" s="8"/>
    </row>
    <row r="288">
      <c r="E288" s="8"/>
    </row>
    <row r="289">
      <c r="E289" s="8"/>
    </row>
    <row r="290">
      <c r="E290" s="8"/>
    </row>
    <row r="291">
      <c r="E291" s="8"/>
    </row>
    <row r="292">
      <c r="E292" s="8"/>
    </row>
    <row r="293">
      <c r="E293" s="8"/>
    </row>
    <row r="294">
      <c r="E294" s="8"/>
    </row>
    <row r="295">
      <c r="E295" s="8"/>
    </row>
    <row r="296">
      <c r="E296" s="8"/>
    </row>
    <row r="297">
      <c r="E297" s="8"/>
    </row>
    <row r="298">
      <c r="E298" s="8"/>
    </row>
    <row r="299">
      <c r="E299" s="8"/>
    </row>
    <row r="300">
      <c r="E300" s="8"/>
    </row>
    <row r="301">
      <c r="E301" s="8"/>
    </row>
    <row r="302">
      <c r="E302" s="8"/>
    </row>
    <row r="303">
      <c r="E303" s="8"/>
    </row>
    <row r="304">
      <c r="E304" s="8"/>
    </row>
    <row r="305">
      <c r="E305" s="8"/>
    </row>
    <row r="306">
      <c r="E306" s="8"/>
    </row>
    <row r="307">
      <c r="E307" s="8"/>
    </row>
    <row r="308">
      <c r="E308" s="8"/>
    </row>
    <row r="309">
      <c r="E309" s="8"/>
    </row>
    <row r="310">
      <c r="E310" s="8"/>
    </row>
    <row r="311">
      <c r="E311" s="8"/>
    </row>
    <row r="312">
      <c r="E312" s="8"/>
    </row>
    <row r="313">
      <c r="E313" s="8"/>
    </row>
    <row r="314">
      <c r="E314" s="8"/>
    </row>
    <row r="315">
      <c r="E315" s="8"/>
    </row>
    <row r="316">
      <c r="E316" s="8"/>
    </row>
    <row r="317">
      <c r="E317" s="8"/>
    </row>
    <row r="318">
      <c r="E318" s="8"/>
    </row>
    <row r="319">
      <c r="E319" s="8"/>
    </row>
    <row r="320">
      <c r="E320" s="8"/>
    </row>
    <row r="321">
      <c r="E321" s="8"/>
    </row>
    <row r="322">
      <c r="E322" s="8"/>
    </row>
    <row r="323">
      <c r="E323" s="8"/>
    </row>
    <row r="324">
      <c r="E324" s="8"/>
    </row>
    <row r="325">
      <c r="E325" s="8"/>
    </row>
    <row r="326">
      <c r="E326" s="8"/>
    </row>
    <row r="327">
      <c r="E327" s="8"/>
    </row>
    <row r="328">
      <c r="E328" s="8"/>
    </row>
    <row r="329">
      <c r="E329" s="8"/>
    </row>
    <row r="330">
      <c r="E330" s="8"/>
    </row>
    <row r="331">
      <c r="E331" s="8"/>
    </row>
    <row r="332">
      <c r="E332" s="8"/>
    </row>
    <row r="333">
      <c r="E333" s="8"/>
    </row>
    <row r="334">
      <c r="E334" s="8"/>
    </row>
    <row r="335">
      <c r="E335" s="8"/>
    </row>
    <row r="336">
      <c r="E336" s="8"/>
    </row>
    <row r="337">
      <c r="E337" s="8"/>
    </row>
    <row r="338">
      <c r="E338" s="8"/>
    </row>
    <row r="339">
      <c r="E339" s="8"/>
    </row>
    <row r="340">
      <c r="E340" s="8"/>
    </row>
    <row r="341">
      <c r="E341" s="8"/>
    </row>
    <row r="342">
      <c r="E342" s="8"/>
    </row>
    <row r="343">
      <c r="E343" s="8"/>
    </row>
    <row r="344">
      <c r="E344" s="8"/>
    </row>
    <row r="345">
      <c r="E345" s="8"/>
    </row>
    <row r="346">
      <c r="E346" s="8"/>
    </row>
    <row r="347">
      <c r="E347" s="8"/>
    </row>
    <row r="348">
      <c r="E348" s="8"/>
    </row>
    <row r="349">
      <c r="E349" s="8"/>
    </row>
    <row r="350">
      <c r="E350" s="8"/>
    </row>
    <row r="351">
      <c r="E351" s="8"/>
    </row>
    <row r="352">
      <c r="E352" s="8"/>
    </row>
    <row r="353">
      <c r="E353" s="8"/>
    </row>
    <row r="354">
      <c r="E354" s="8"/>
    </row>
    <row r="355">
      <c r="E355" s="8"/>
    </row>
    <row r="356">
      <c r="E356" s="8"/>
    </row>
    <row r="357">
      <c r="E357" s="8"/>
    </row>
    <row r="358">
      <c r="E358" s="8"/>
    </row>
    <row r="359">
      <c r="E359" s="8"/>
    </row>
    <row r="360">
      <c r="E360" s="8"/>
    </row>
    <row r="361">
      <c r="E361" s="8"/>
    </row>
    <row r="362">
      <c r="E362" s="8"/>
    </row>
    <row r="363">
      <c r="E363" s="8"/>
    </row>
    <row r="364">
      <c r="E364" s="8"/>
    </row>
    <row r="365">
      <c r="E365" s="8"/>
    </row>
    <row r="366">
      <c r="E366" s="8"/>
    </row>
    <row r="367">
      <c r="E367" s="8"/>
    </row>
    <row r="368">
      <c r="E368" s="8"/>
    </row>
    <row r="369">
      <c r="E369" s="8"/>
    </row>
    <row r="370">
      <c r="E370" s="8"/>
    </row>
    <row r="371">
      <c r="E371" s="8"/>
    </row>
    <row r="372">
      <c r="E372" s="8"/>
    </row>
    <row r="373">
      <c r="E373" s="8"/>
    </row>
    <row r="374">
      <c r="E374" s="8"/>
    </row>
    <row r="375">
      <c r="E375" s="8"/>
    </row>
    <row r="376">
      <c r="E376" s="8"/>
    </row>
    <row r="377">
      <c r="E377" s="8"/>
    </row>
    <row r="378">
      <c r="E378" s="8"/>
    </row>
    <row r="379">
      <c r="E379" s="8"/>
    </row>
    <row r="380">
      <c r="E380" s="8"/>
    </row>
    <row r="381">
      <c r="E381" s="8"/>
    </row>
    <row r="382">
      <c r="E382" s="8"/>
    </row>
    <row r="383">
      <c r="E383" s="8"/>
    </row>
    <row r="384">
      <c r="E384" s="8"/>
    </row>
    <row r="385">
      <c r="E385" s="8"/>
    </row>
    <row r="386">
      <c r="E386" s="8"/>
    </row>
    <row r="387">
      <c r="E387" s="8"/>
    </row>
    <row r="388">
      <c r="E388" s="8"/>
    </row>
    <row r="389">
      <c r="E389" s="8"/>
    </row>
    <row r="390">
      <c r="E390" s="8"/>
    </row>
    <row r="391">
      <c r="E391" s="8"/>
    </row>
    <row r="392">
      <c r="E392" s="8"/>
    </row>
    <row r="393">
      <c r="E393" s="8"/>
    </row>
    <row r="394">
      <c r="E394" s="8"/>
    </row>
    <row r="395">
      <c r="E395" s="8"/>
    </row>
    <row r="396">
      <c r="E396" s="8"/>
    </row>
    <row r="397">
      <c r="E397" s="8"/>
    </row>
    <row r="398">
      <c r="E398" s="8"/>
    </row>
    <row r="399">
      <c r="E399" s="8"/>
    </row>
    <row r="400">
      <c r="E400" s="8"/>
    </row>
    <row r="401">
      <c r="E401" s="8"/>
    </row>
    <row r="402">
      <c r="E402" s="8"/>
    </row>
    <row r="403">
      <c r="E403" s="8"/>
    </row>
    <row r="404">
      <c r="E404" s="8"/>
    </row>
    <row r="405">
      <c r="E405" s="8"/>
    </row>
    <row r="406">
      <c r="E406" s="8"/>
    </row>
    <row r="407">
      <c r="E407" s="8"/>
    </row>
    <row r="408">
      <c r="E408" s="8"/>
    </row>
    <row r="409">
      <c r="E409" s="8"/>
    </row>
    <row r="410">
      <c r="E410" s="8"/>
    </row>
    <row r="411">
      <c r="E411" s="8"/>
    </row>
    <row r="412">
      <c r="E412" s="8"/>
    </row>
    <row r="413">
      <c r="E413" s="8"/>
    </row>
    <row r="414">
      <c r="E414" s="8"/>
    </row>
    <row r="415">
      <c r="E415" s="8"/>
    </row>
    <row r="416">
      <c r="E416" s="8"/>
    </row>
    <row r="417">
      <c r="E417" s="8"/>
    </row>
    <row r="418">
      <c r="E418" s="8"/>
    </row>
    <row r="419">
      <c r="E419" s="8"/>
    </row>
    <row r="420">
      <c r="E420" s="8"/>
    </row>
    <row r="421">
      <c r="E421" s="8"/>
    </row>
    <row r="422">
      <c r="E422" s="8"/>
    </row>
    <row r="423">
      <c r="E423" s="8"/>
    </row>
    <row r="424">
      <c r="E424" s="8"/>
    </row>
    <row r="425">
      <c r="E425" s="8"/>
    </row>
    <row r="426">
      <c r="E426" s="8"/>
    </row>
    <row r="427">
      <c r="E427" s="8"/>
    </row>
    <row r="428">
      <c r="E428" s="8"/>
    </row>
    <row r="429">
      <c r="E429" s="8"/>
    </row>
    <row r="430">
      <c r="E430" s="8"/>
    </row>
    <row r="431">
      <c r="E431" s="8"/>
    </row>
    <row r="432">
      <c r="E432" s="8"/>
    </row>
    <row r="433">
      <c r="E433" s="8"/>
    </row>
    <row r="434">
      <c r="E434" s="8"/>
    </row>
    <row r="435">
      <c r="E435" s="8"/>
    </row>
    <row r="436">
      <c r="E436" s="8"/>
    </row>
    <row r="437">
      <c r="E437" s="8"/>
    </row>
    <row r="438">
      <c r="E438" s="8"/>
    </row>
    <row r="439">
      <c r="E439" s="8"/>
    </row>
    <row r="440">
      <c r="E440" s="8"/>
    </row>
    <row r="441">
      <c r="E441" s="8"/>
    </row>
    <row r="442">
      <c r="E442" s="8"/>
    </row>
    <row r="443">
      <c r="E443" s="8"/>
    </row>
    <row r="444">
      <c r="E444" s="8"/>
    </row>
    <row r="445">
      <c r="E445" s="8"/>
    </row>
    <row r="446">
      <c r="E446" s="8"/>
    </row>
    <row r="447">
      <c r="E447" s="8"/>
    </row>
    <row r="448">
      <c r="E448" s="8"/>
    </row>
    <row r="449">
      <c r="E449" s="8"/>
    </row>
    <row r="450">
      <c r="E450" s="8"/>
    </row>
    <row r="451">
      <c r="E451" s="8"/>
    </row>
    <row r="452">
      <c r="E452" s="8"/>
    </row>
    <row r="453">
      <c r="E453" s="8"/>
    </row>
    <row r="454">
      <c r="E454" s="8"/>
    </row>
    <row r="455">
      <c r="E455" s="8"/>
    </row>
    <row r="456">
      <c r="E456" s="8"/>
    </row>
    <row r="457">
      <c r="E457" s="8"/>
    </row>
    <row r="458">
      <c r="E458" s="8"/>
    </row>
    <row r="459">
      <c r="E459" s="8"/>
    </row>
    <row r="460">
      <c r="E460" s="8"/>
    </row>
    <row r="461">
      <c r="E461" s="8"/>
    </row>
    <row r="462">
      <c r="E462" s="8"/>
    </row>
    <row r="463">
      <c r="E463" s="8"/>
    </row>
    <row r="464">
      <c r="E464" s="8"/>
    </row>
    <row r="465">
      <c r="E465" s="8"/>
    </row>
    <row r="466">
      <c r="E466" s="8"/>
    </row>
    <row r="467">
      <c r="E467" s="8"/>
    </row>
    <row r="468">
      <c r="E468" s="8"/>
    </row>
    <row r="469">
      <c r="E469" s="8"/>
    </row>
    <row r="470">
      <c r="E470" s="8"/>
    </row>
    <row r="471">
      <c r="E471" s="8"/>
    </row>
    <row r="472">
      <c r="E472" s="8"/>
    </row>
    <row r="473">
      <c r="E473" s="8"/>
    </row>
    <row r="474">
      <c r="E474" s="8"/>
    </row>
    <row r="475">
      <c r="E475" s="8"/>
    </row>
    <row r="476">
      <c r="E476" s="8"/>
    </row>
    <row r="477">
      <c r="E477" s="8"/>
    </row>
    <row r="478">
      <c r="E478" s="8"/>
    </row>
    <row r="479">
      <c r="E479" s="8"/>
    </row>
    <row r="480">
      <c r="E480" s="8"/>
    </row>
    <row r="481">
      <c r="E481" s="8"/>
    </row>
    <row r="482">
      <c r="E482" s="8"/>
    </row>
    <row r="483">
      <c r="E483" s="8"/>
    </row>
    <row r="484">
      <c r="E484" s="8"/>
    </row>
    <row r="485">
      <c r="E485" s="8"/>
    </row>
    <row r="486">
      <c r="E486" s="8"/>
    </row>
    <row r="487">
      <c r="E487" s="8"/>
    </row>
    <row r="488">
      <c r="E488" s="8"/>
    </row>
    <row r="489">
      <c r="E489" s="8"/>
    </row>
    <row r="490">
      <c r="E490" s="8"/>
    </row>
    <row r="491">
      <c r="E491" s="8"/>
    </row>
    <row r="492">
      <c r="E492" s="8"/>
    </row>
    <row r="493">
      <c r="E493" s="8"/>
    </row>
    <row r="494">
      <c r="E494" s="8"/>
    </row>
    <row r="495">
      <c r="E495" s="8"/>
    </row>
    <row r="496">
      <c r="E496" s="8"/>
    </row>
    <row r="497">
      <c r="E497" s="8"/>
    </row>
    <row r="498">
      <c r="E498" s="8"/>
    </row>
    <row r="499">
      <c r="E499" s="8"/>
    </row>
    <row r="500">
      <c r="E500" s="8"/>
    </row>
    <row r="501">
      <c r="E501" s="8"/>
    </row>
    <row r="502">
      <c r="E502" s="8"/>
    </row>
    <row r="503">
      <c r="E503" s="8"/>
    </row>
    <row r="504">
      <c r="E504" s="8"/>
    </row>
    <row r="505">
      <c r="E505" s="8"/>
    </row>
    <row r="506">
      <c r="E506" s="8"/>
    </row>
    <row r="507">
      <c r="E507" s="8"/>
    </row>
    <row r="508">
      <c r="E508" s="8"/>
    </row>
    <row r="509">
      <c r="E509" s="8"/>
    </row>
    <row r="510">
      <c r="E510" s="8"/>
    </row>
    <row r="511">
      <c r="E511" s="8"/>
    </row>
    <row r="512">
      <c r="E512" s="8"/>
    </row>
    <row r="513">
      <c r="E513" s="8"/>
    </row>
    <row r="514">
      <c r="E514" s="8"/>
    </row>
    <row r="515">
      <c r="E515" s="8"/>
    </row>
    <row r="516">
      <c r="E516" s="8"/>
    </row>
    <row r="517">
      <c r="E517" s="8"/>
    </row>
    <row r="518">
      <c r="E518" s="8"/>
    </row>
    <row r="519">
      <c r="E519" s="8"/>
    </row>
    <row r="520">
      <c r="E520" s="8"/>
    </row>
    <row r="521">
      <c r="E521" s="8"/>
    </row>
    <row r="522">
      <c r="E522" s="8"/>
    </row>
    <row r="523">
      <c r="E523" s="8"/>
    </row>
    <row r="524">
      <c r="E524" s="8"/>
    </row>
    <row r="525">
      <c r="E525" s="8"/>
    </row>
    <row r="526">
      <c r="E526" s="8"/>
    </row>
    <row r="527">
      <c r="E527" s="8"/>
    </row>
    <row r="528">
      <c r="E528" s="8"/>
    </row>
    <row r="529">
      <c r="E529" s="8"/>
    </row>
    <row r="530">
      <c r="E530" s="8"/>
    </row>
    <row r="531">
      <c r="E531" s="8"/>
    </row>
    <row r="532">
      <c r="E532" s="8"/>
    </row>
    <row r="533">
      <c r="E533" s="8"/>
    </row>
    <row r="534">
      <c r="E534" s="8"/>
    </row>
    <row r="535">
      <c r="E535" s="8"/>
    </row>
    <row r="536">
      <c r="E536" s="8"/>
    </row>
    <row r="537">
      <c r="E537" s="8"/>
    </row>
    <row r="538">
      <c r="E538" s="8"/>
    </row>
    <row r="539">
      <c r="E539" s="8"/>
    </row>
    <row r="540">
      <c r="E540" s="8"/>
    </row>
    <row r="541">
      <c r="E541" s="8"/>
    </row>
    <row r="542">
      <c r="E542" s="8"/>
    </row>
    <row r="543">
      <c r="E543" s="8"/>
    </row>
    <row r="544">
      <c r="E544" s="8"/>
    </row>
    <row r="545">
      <c r="E545" s="8"/>
    </row>
    <row r="546">
      <c r="E546" s="8"/>
    </row>
    <row r="547">
      <c r="E547" s="8"/>
    </row>
    <row r="548">
      <c r="E548" s="8"/>
    </row>
    <row r="549">
      <c r="E549" s="8"/>
    </row>
    <row r="550">
      <c r="E550" s="8"/>
    </row>
    <row r="551">
      <c r="E551" s="8"/>
    </row>
    <row r="552">
      <c r="E552" s="8"/>
    </row>
    <row r="553">
      <c r="E553" s="8"/>
    </row>
    <row r="554">
      <c r="E554" s="8"/>
    </row>
    <row r="555">
      <c r="E555" s="8"/>
    </row>
    <row r="556">
      <c r="E556" s="8"/>
    </row>
    <row r="557">
      <c r="E557" s="8"/>
    </row>
    <row r="558">
      <c r="E558" s="8"/>
    </row>
    <row r="559">
      <c r="E559" s="8"/>
    </row>
    <row r="560">
      <c r="E560" s="8"/>
    </row>
    <row r="561">
      <c r="E561" s="8"/>
    </row>
    <row r="562">
      <c r="E562" s="8"/>
    </row>
    <row r="563">
      <c r="E563" s="8"/>
    </row>
    <row r="564">
      <c r="E564" s="8"/>
    </row>
    <row r="565">
      <c r="E565" s="8"/>
    </row>
    <row r="566">
      <c r="E566" s="8"/>
    </row>
    <row r="567">
      <c r="E567" s="8"/>
    </row>
    <row r="568">
      <c r="E568" s="8"/>
    </row>
    <row r="569">
      <c r="E569" s="8"/>
    </row>
    <row r="570">
      <c r="E570" s="8"/>
    </row>
    <row r="571">
      <c r="E571" s="8"/>
    </row>
    <row r="572">
      <c r="E572" s="8"/>
    </row>
    <row r="573">
      <c r="E573" s="8"/>
    </row>
    <row r="574">
      <c r="E574" s="8"/>
    </row>
    <row r="575">
      <c r="E575" s="8"/>
    </row>
    <row r="576">
      <c r="E576" s="8"/>
    </row>
    <row r="577">
      <c r="E577" s="8"/>
    </row>
    <row r="578">
      <c r="E578" s="8"/>
    </row>
    <row r="579">
      <c r="E579" s="8"/>
    </row>
    <row r="580">
      <c r="E580" s="8"/>
    </row>
    <row r="581">
      <c r="E581" s="8"/>
    </row>
    <row r="582">
      <c r="E582" s="8"/>
    </row>
    <row r="583">
      <c r="E583" s="8"/>
    </row>
    <row r="584">
      <c r="E584" s="8"/>
    </row>
    <row r="585">
      <c r="E585" s="8"/>
    </row>
    <row r="586">
      <c r="E586" s="8"/>
    </row>
    <row r="587">
      <c r="E587" s="8"/>
    </row>
    <row r="588">
      <c r="E588" s="8"/>
    </row>
    <row r="589">
      <c r="E589" s="8"/>
    </row>
    <row r="590">
      <c r="E590" s="8"/>
    </row>
    <row r="591">
      <c r="E591" s="8"/>
    </row>
    <row r="592">
      <c r="E592" s="8"/>
    </row>
    <row r="593">
      <c r="E593" s="8"/>
    </row>
    <row r="594">
      <c r="E594" s="8"/>
    </row>
    <row r="595">
      <c r="E595" s="8"/>
    </row>
    <row r="596">
      <c r="E596" s="8"/>
    </row>
    <row r="597">
      <c r="E597" s="8"/>
    </row>
    <row r="598">
      <c r="E598" s="8"/>
    </row>
    <row r="599">
      <c r="E599" s="8"/>
    </row>
    <row r="600">
      <c r="E600" s="8"/>
    </row>
    <row r="601">
      <c r="E601" s="8"/>
    </row>
    <row r="602">
      <c r="E602" s="8"/>
    </row>
    <row r="603">
      <c r="E603" s="8"/>
    </row>
    <row r="604">
      <c r="E604" s="8"/>
    </row>
    <row r="605">
      <c r="E605" s="8"/>
    </row>
    <row r="606">
      <c r="E606" s="8"/>
    </row>
    <row r="607">
      <c r="E607" s="8"/>
    </row>
    <row r="608">
      <c r="E608" s="8"/>
    </row>
    <row r="609">
      <c r="E609" s="8"/>
    </row>
    <row r="610">
      <c r="E610" s="8"/>
    </row>
    <row r="611">
      <c r="E611" s="8"/>
    </row>
    <row r="612">
      <c r="E612" s="8"/>
    </row>
    <row r="613">
      <c r="E613" s="8"/>
    </row>
    <row r="614">
      <c r="E614" s="8"/>
    </row>
    <row r="615">
      <c r="E615" s="8"/>
    </row>
    <row r="616">
      <c r="E616" s="8"/>
    </row>
    <row r="617">
      <c r="E617" s="8"/>
    </row>
    <row r="618">
      <c r="E618" s="8"/>
    </row>
    <row r="619">
      <c r="E619" s="8"/>
    </row>
    <row r="620">
      <c r="E620" s="8"/>
    </row>
    <row r="621">
      <c r="E621" s="8"/>
    </row>
    <row r="622">
      <c r="E622" s="8"/>
    </row>
    <row r="623">
      <c r="E623" s="8"/>
    </row>
    <row r="624">
      <c r="E624" s="8"/>
    </row>
    <row r="625">
      <c r="E625" s="8"/>
    </row>
    <row r="626">
      <c r="E626" s="8"/>
    </row>
    <row r="627">
      <c r="E627" s="8"/>
    </row>
    <row r="628">
      <c r="E628" s="8"/>
    </row>
    <row r="629">
      <c r="E629" s="8"/>
    </row>
    <row r="630">
      <c r="E630" s="8"/>
    </row>
    <row r="631">
      <c r="E631" s="8"/>
    </row>
    <row r="632">
      <c r="E632" s="8"/>
    </row>
    <row r="633">
      <c r="E633" s="8"/>
    </row>
    <row r="634">
      <c r="E634" s="8"/>
    </row>
    <row r="635">
      <c r="E635" s="8"/>
    </row>
    <row r="636">
      <c r="E636" s="8"/>
    </row>
    <row r="637">
      <c r="E637" s="8"/>
    </row>
    <row r="638">
      <c r="E638" s="8"/>
    </row>
    <row r="639">
      <c r="E639" s="8"/>
    </row>
    <row r="640">
      <c r="E640" s="8"/>
    </row>
    <row r="641">
      <c r="E641" s="8"/>
    </row>
    <row r="642">
      <c r="E642" s="8"/>
    </row>
    <row r="643">
      <c r="E643" s="8"/>
    </row>
    <row r="644">
      <c r="E644" s="8"/>
    </row>
    <row r="645">
      <c r="E645" s="8"/>
    </row>
    <row r="646">
      <c r="E646" s="8"/>
    </row>
    <row r="647">
      <c r="E647" s="8"/>
    </row>
    <row r="648">
      <c r="E648" s="8"/>
    </row>
    <row r="649">
      <c r="E649" s="8"/>
    </row>
    <row r="650">
      <c r="E650" s="8"/>
    </row>
    <row r="651">
      <c r="E651" s="8"/>
    </row>
    <row r="652">
      <c r="E652" s="8"/>
    </row>
    <row r="653">
      <c r="E653" s="8"/>
    </row>
    <row r="654">
      <c r="E654" s="8"/>
    </row>
    <row r="655">
      <c r="E655" s="8"/>
    </row>
    <row r="656">
      <c r="E656" s="8"/>
    </row>
    <row r="657">
      <c r="E657" s="8"/>
    </row>
    <row r="658">
      <c r="E658" s="8"/>
    </row>
    <row r="659">
      <c r="E659" s="8"/>
    </row>
    <row r="660">
      <c r="E660" s="8"/>
    </row>
    <row r="661">
      <c r="E661" s="8"/>
    </row>
    <row r="662">
      <c r="E662" s="8"/>
    </row>
    <row r="663">
      <c r="E663" s="8"/>
    </row>
    <row r="664">
      <c r="E664" s="8"/>
    </row>
    <row r="665">
      <c r="E665" s="8"/>
    </row>
    <row r="666">
      <c r="E666" s="8"/>
    </row>
    <row r="667">
      <c r="E667" s="8"/>
    </row>
    <row r="668">
      <c r="E668" s="8"/>
    </row>
    <row r="669">
      <c r="E669" s="8"/>
    </row>
    <row r="670">
      <c r="E670" s="8"/>
    </row>
    <row r="671">
      <c r="E671" s="8"/>
    </row>
    <row r="672">
      <c r="E672" s="8"/>
    </row>
    <row r="673">
      <c r="E673" s="8"/>
    </row>
    <row r="674">
      <c r="E674" s="8"/>
    </row>
    <row r="675">
      <c r="E675" s="8"/>
    </row>
    <row r="676">
      <c r="E676" s="8"/>
    </row>
    <row r="677">
      <c r="E677" s="8"/>
    </row>
    <row r="678">
      <c r="E678" s="8"/>
    </row>
    <row r="679">
      <c r="E679" s="8"/>
    </row>
    <row r="680">
      <c r="E680" s="8"/>
    </row>
    <row r="681">
      <c r="E681" s="8"/>
    </row>
    <row r="682">
      <c r="E682" s="8"/>
    </row>
    <row r="683">
      <c r="E683" s="8"/>
    </row>
    <row r="684">
      <c r="E684" s="8"/>
    </row>
    <row r="685">
      <c r="E685" s="8"/>
    </row>
    <row r="686">
      <c r="E686" s="8"/>
    </row>
    <row r="687">
      <c r="E687" s="8"/>
    </row>
    <row r="688">
      <c r="E688" s="8"/>
    </row>
    <row r="689">
      <c r="E689" s="8"/>
    </row>
    <row r="690">
      <c r="E690" s="8"/>
    </row>
    <row r="691">
      <c r="E691" s="8"/>
    </row>
    <row r="692">
      <c r="E692" s="8"/>
    </row>
    <row r="693">
      <c r="E693" s="8"/>
    </row>
    <row r="694">
      <c r="E694" s="8"/>
    </row>
    <row r="695">
      <c r="E695" s="8"/>
    </row>
    <row r="696">
      <c r="E696" s="8"/>
    </row>
    <row r="697">
      <c r="E697" s="8"/>
    </row>
    <row r="698">
      <c r="E698" s="8"/>
    </row>
    <row r="699">
      <c r="E699" s="8"/>
    </row>
    <row r="700">
      <c r="E700" s="8"/>
    </row>
    <row r="701">
      <c r="E701" s="8"/>
    </row>
    <row r="702">
      <c r="E702" s="8"/>
    </row>
    <row r="703">
      <c r="E703" s="8"/>
    </row>
    <row r="704">
      <c r="E704" s="8"/>
    </row>
    <row r="705">
      <c r="E705" s="8"/>
    </row>
    <row r="706">
      <c r="E706" s="8"/>
    </row>
    <row r="707">
      <c r="E707" s="8"/>
    </row>
    <row r="708">
      <c r="E708" s="8"/>
    </row>
    <row r="709">
      <c r="E709" s="8"/>
    </row>
    <row r="710">
      <c r="E710" s="8"/>
    </row>
    <row r="711">
      <c r="E711" s="8"/>
    </row>
    <row r="712">
      <c r="E712" s="8"/>
    </row>
    <row r="713">
      <c r="E713" s="8"/>
    </row>
    <row r="714">
      <c r="E714" s="8"/>
    </row>
    <row r="715">
      <c r="E715" s="8"/>
    </row>
    <row r="716">
      <c r="E716" s="8"/>
    </row>
    <row r="717">
      <c r="E717" s="8"/>
    </row>
    <row r="718">
      <c r="E718" s="8"/>
    </row>
    <row r="719">
      <c r="E719" s="8"/>
    </row>
    <row r="720">
      <c r="E720" s="8"/>
    </row>
    <row r="721">
      <c r="E721" s="8"/>
    </row>
    <row r="722">
      <c r="E722" s="8"/>
    </row>
    <row r="723">
      <c r="E723" s="8"/>
    </row>
    <row r="724">
      <c r="E724" s="8"/>
    </row>
    <row r="725">
      <c r="E725" s="8"/>
    </row>
    <row r="726">
      <c r="E726" s="8"/>
    </row>
    <row r="727">
      <c r="E727" s="8"/>
    </row>
    <row r="728">
      <c r="E728" s="8"/>
    </row>
    <row r="729">
      <c r="E729" s="8"/>
    </row>
    <row r="730">
      <c r="E730" s="8"/>
    </row>
    <row r="731">
      <c r="E731" s="8"/>
    </row>
    <row r="732">
      <c r="E732" s="8"/>
    </row>
    <row r="733">
      <c r="E733" s="8"/>
    </row>
    <row r="734">
      <c r="E734" s="8"/>
    </row>
    <row r="735">
      <c r="E735" s="8"/>
    </row>
    <row r="736">
      <c r="E736" s="8"/>
    </row>
    <row r="737">
      <c r="E737" s="8"/>
    </row>
    <row r="738">
      <c r="E738" s="8"/>
    </row>
    <row r="739">
      <c r="E739" s="8"/>
    </row>
    <row r="740">
      <c r="E740" s="8"/>
    </row>
    <row r="741">
      <c r="E741" s="8"/>
    </row>
    <row r="742">
      <c r="E742" s="8"/>
    </row>
    <row r="743">
      <c r="E743" s="8"/>
    </row>
    <row r="744">
      <c r="E744" s="8"/>
    </row>
    <row r="745">
      <c r="E745" s="8"/>
    </row>
    <row r="746">
      <c r="E746" s="8"/>
    </row>
    <row r="747">
      <c r="E747" s="8"/>
    </row>
    <row r="748">
      <c r="E748" s="8"/>
    </row>
    <row r="749">
      <c r="E749" s="8"/>
    </row>
    <row r="750">
      <c r="E750" s="8"/>
    </row>
    <row r="751">
      <c r="E751" s="8"/>
    </row>
    <row r="752">
      <c r="E752" s="8"/>
    </row>
    <row r="753">
      <c r="E753" s="8"/>
    </row>
    <row r="754">
      <c r="E754" s="8"/>
    </row>
    <row r="755">
      <c r="E755" s="8"/>
    </row>
    <row r="756">
      <c r="E756" s="8"/>
    </row>
    <row r="757">
      <c r="E757" s="8"/>
    </row>
    <row r="758">
      <c r="E758" s="8"/>
    </row>
    <row r="759">
      <c r="E759" s="8"/>
    </row>
    <row r="760">
      <c r="E760" s="8"/>
    </row>
    <row r="761">
      <c r="E761" s="8"/>
    </row>
    <row r="762">
      <c r="E762" s="8"/>
    </row>
    <row r="763">
      <c r="E763" s="8"/>
    </row>
    <row r="764">
      <c r="E764" s="8"/>
    </row>
    <row r="765">
      <c r="E765" s="8"/>
    </row>
    <row r="766">
      <c r="E766" s="8"/>
    </row>
    <row r="767">
      <c r="E767" s="8"/>
    </row>
    <row r="768">
      <c r="E768" s="8"/>
    </row>
    <row r="769">
      <c r="E769" s="8"/>
    </row>
    <row r="770">
      <c r="E770" s="8"/>
    </row>
    <row r="771">
      <c r="E771" s="8"/>
    </row>
    <row r="772">
      <c r="E772" s="8"/>
    </row>
    <row r="773">
      <c r="E773" s="8"/>
    </row>
    <row r="774">
      <c r="E774" s="8"/>
    </row>
    <row r="775">
      <c r="E775" s="8"/>
    </row>
    <row r="776">
      <c r="E776" s="8"/>
    </row>
    <row r="777">
      <c r="E777" s="8"/>
    </row>
    <row r="778">
      <c r="E778" s="8"/>
    </row>
    <row r="779">
      <c r="E779" s="8"/>
    </row>
    <row r="780">
      <c r="E780" s="8"/>
    </row>
    <row r="781">
      <c r="E781" s="8"/>
    </row>
    <row r="782">
      <c r="E782" s="8"/>
    </row>
    <row r="783">
      <c r="E783" s="8"/>
    </row>
    <row r="784">
      <c r="E784" s="8"/>
    </row>
    <row r="785">
      <c r="E785" s="8"/>
    </row>
    <row r="786">
      <c r="E786" s="8"/>
    </row>
    <row r="787">
      <c r="E787" s="8"/>
    </row>
    <row r="788">
      <c r="E788" s="8"/>
    </row>
    <row r="789">
      <c r="E789" s="8"/>
    </row>
    <row r="790">
      <c r="E790" s="8"/>
    </row>
    <row r="791">
      <c r="E791" s="8"/>
    </row>
    <row r="792">
      <c r="E792" s="8"/>
    </row>
    <row r="793">
      <c r="E793" s="8"/>
    </row>
    <row r="794">
      <c r="E794" s="8"/>
    </row>
    <row r="795">
      <c r="E795" s="8"/>
    </row>
    <row r="796">
      <c r="E796" s="8"/>
    </row>
    <row r="797">
      <c r="E797" s="8"/>
    </row>
    <row r="798">
      <c r="E798" s="8"/>
    </row>
    <row r="799">
      <c r="E799" s="8"/>
    </row>
    <row r="800">
      <c r="E800" s="8"/>
    </row>
    <row r="801">
      <c r="E801" s="8"/>
    </row>
    <row r="802">
      <c r="E802" s="8"/>
    </row>
    <row r="803">
      <c r="E803" s="8"/>
    </row>
    <row r="804">
      <c r="E804" s="8"/>
    </row>
    <row r="805">
      <c r="E805" s="8"/>
    </row>
    <row r="806">
      <c r="E806" s="8"/>
    </row>
    <row r="807">
      <c r="E807" s="8"/>
    </row>
    <row r="808">
      <c r="E808" s="8"/>
    </row>
    <row r="809">
      <c r="E809" s="8"/>
    </row>
    <row r="810">
      <c r="E810" s="8"/>
    </row>
    <row r="811">
      <c r="E811" s="8"/>
    </row>
    <row r="812">
      <c r="E812" s="8"/>
    </row>
    <row r="813">
      <c r="E813" s="8"/>
    </row>
    <row r="814">
      <c r="E814" s="8"/>
    </row>
    <row r="815">
      <c r="E815" s="8"/>
    </row>
    <row r="816">
      <c r="E816" s="8"/>
    </row>
    <row r="817">
      <c r="E817" s="8"/>
    </row>
    <row r="818">
      <c r="E818" s="8"/>
    </row>
    <row r="819">
      <c r="E819" s="8"/>
    </row>
    <row r="820">
      <c r="E820" s="8"/>
    </row>
    <row r="821">
      <c r="E821" s="8"/>
    </row>
    <row r="822">
      <c r="E822" s="8"/>
    </row>
    <row r="823">
      <c r="E823" s="8"/>
    </row>
    <row r="824">
      <c r="E824" s="8"/>
    </row>
    <row r="825">
      <c r="E825" s="8"/>
    </row>
    <row r="826">
      <c r="E826" s="8"/>
    </row>
    <row r="827">
      <c r="E827" s="8"/>
    </row>
    <row r="828">
      <c r="E828" s="8"/>
    </row>
    <row r="829">
      <c r="E829" s="8"/>
    </row>
    <row r="830">
      <c r="E830" s="8"/>
    </row>
    <row r="831">
      <c r="E831" s="8"/>
    </row>
    <row r="832">
      <c r="E832" s="8"/>
    </row>
    <row r="833">
      <c r="E833" s="8"/>
    </row>
    <row r="834">
      <c r="E834" s="8"/>
    </row>
    <row r="835">
      <c r="E835" s="8"/>
    </row>
    <row r="836">
      <c r="E836" s="8"/>
    </row>
    <row r="837">
      <c r="E837" s="8"/>
    </row>
    <row r="838">
      <c r="E838" s="8"/>
    </row>
    <row r="839">
      <c r="E839" s="8"/>
    </row>
    <row r="840">
      <c r="E840" s="8"/>
    </row>
    <row r="841">
      <c r="E841" s="8"/>
    </row>
    <row r="842">
      <c r="E842" s="8"/>
    </row>
    <row r="843">
      <c r="E843" s="8"/>
    </row>
    <row r="844">
      <c r="E844" s="8"/>
    </row>
    <row r="845">
      <c r="E845" s="8"/>
    </row>
    <row r="846">
      <c r="E846" s="8"/>
    </row>
    <row r="847">
      <c r="E847" s="8"/>
    </row>
    <row r="848">
      <c r="E848" s="8"/>
    </row>
    <row r="849">
      <c r="E849" s="8"/>
    </row>
    <row r="850">
      <c r="E850" s="8"/>
    </row>
    <row r="851">
      <c r="E851" s="8"/>
    </row>
    <row r="852">
      <c r="E852" s="8"/>
    </row>
    <row r="853">
      <c r="E853" s="8"/>
    </row>
    <row r="854">
      <c r="E854" s="8"/>
    </row>
    <row r="855">
      <c r="E855" s="8"/>
    </row>
    <row r="856">
      <c r="E856" s="8"/>
    </row>
    <row r="857">
      <c r="E857" s="8"/>
    </row>
    <row r="858">
      <c r="E858" s="8"/>
    </row>
    <row r="859">
      <c r="E859" s="8"/>
    </row>
    <row r="860">
      <c r="E860" s="8"/>
    </row>
    <row r="861">
      <c r="E861" s="8"/>
    </row>
    <row r="862">
      <c r="E862" s="8"/>
    </row>
    <row r="863">
      <c r="E863" s="8"/>
    </row>
    <row r="864">
      <c r="E864" s="8"/>
    </row>
    <row r="865">
      <c r="E865" s="8"/>
    </row>
    <row r="866">
      <c r="E866" s="8"/>
    </row>
    <row r="867">
      <c r="E867" s="8"/>
    </row>
    <row r="868">
      <c r="E868" s="8"/>
    </row>
    <row r="869">
      <c r="E869" s="8"/>
    </row>
    <row r="870">
      <c r="E870" s="8"/>
    </row>
    <row r="871">
      <c r="E871" s="8"/>
    </row>
    <row r="872">
      <c r="E872" s="8"/>
    </row>
    <row r="873">
      <c r="E873" s="8"/>
    </row>
    <row r="874">
      <c r="E874" s="8"/>
    </row>
    <row r="875">
      <c r="E875" s="8"/>
    </row>
    <row r="876">
      <c r="E876" s="8"/>
    </row>
    <row r="877">
      <c r="E877" s="8"/>
    </row>
    <row r="878">
      <c r="E878" s="8"/>
    </row>
    <row r="879">
      <c r="E879" s="8"/>
    </row>
    <row r="880">
      <c r="E880" s="8"/>
    </row>
    <row r="881">
      <c r="E881" s="8"/>
    </row>
    <row r="882">
      <c r="E882" s="8"/>
    </row>
    <row r="883">
      <c r="E883" s="8"/>
    </row>
    <row r="884">
      <c r="E884" s="8"/>
    </row>
    <row r="885">
      <c r="E885" s="8"/>
    </row>
    <row r="886">
      <c r="E886" s="8"/>
    </row>
    <row r="887">
      <c r="E887" s="8"/>
    </row>
    <row r="888">
      <c r="E888" s="8"/>
    </row>
    <row r="889">
      <c r="E889" s="8"/>
    </row>
    <row r="890">
      <c r="E890" s="8"/>
    </row>
    <row r="891">
      <c r="E891" s="8"/>
    </row>
    <row r="892">
      <c r="E892" s="8"/>
    </row>
    <row r="893">
      <c r="E893" s="8"/>
    </row>
    <row r="894">
      <c r="E894" s="8"/>
    </row>
    <row r="895">
      <c r="E895" s="8"/>
    </row>
    <row r="896">
      <c r="E896" s="8"/>
    </row>
    <row r="897">
      <c r="E897" s="8"/>
    </row>
    <row r="898">
      <c r="E898" s="8"/>
    </row>
    <row r="899">
      <c r="E899" s="8"/>
    </row>
    <row r="900">
      <c r="E900" s="8"/>
    </row>
    <row r="901">
      <c r="E901" s="8"/>
    </row>
    <row r="902">
      <c r="E902" s="8"/>
    </row>
    <row r="903">
      <c r="E903" s="8"/>
    </row>
    <row r="904">
      <c r="E904" s="8"/>
    </row>
    <row r="905">
      <c r="E905" s="8"/>
    </row>
    <row r="906">
      <c r="E906" s="8"/>
    </row>
    <row r="907">
      <c r="E907" s="8"/>
    </row>
    <row r="908">
      <c r="E908" s="8"/>
    </row>
    <row r="909">
      <c r="E909" s="8"/>
    </row>
    <row r="910">
      <c r="E910" s="8"/>
    </row>
    <row r="911">
      <c r="E911" s="8"/>
    </row>
    <row r="912">
      <c r="E912" s="8"/>
    </row>
    <row r="913">
      <c r="E913" s="8"/>
    </row>
    <row r="914">
      <c r="E914" s="8"/>
    </row>
    <row r="915">
      <c r="E915" s="8"/>
    </row>
    <row r="916">
      <c r="E916" s="8"/>
    </row>
    <row r="917">
      <c r="E917" s="8"/>
    </row>
    <row r="918">
      <c r="E918" s="8"/>
    </row>
    <row r="919">
      <c r="E919" s="8"/>
    </row>
    <row r="920">
      <c r="E920" s="8"/>
    </row>
    <row r="921">
      <c r="E921" s="8"/>
    </row>
    <row r="922">
      <c r="E922" s="8"/>
    </row>
    <row r="923">
      <c r="E923" s="8"/>
    </row>
    <row r="924">
      <c r="E924" s="8"/>
    </row>
    <row r="925">
      <c r="E925" s="8"/>
    </row>
    <row r="926">
      <c r="E926" s="8"/>
    </row>
    <row r="927">
      <c r="E927" s="8"/>
    </row>
    <row r="928">
      <c r="E928" s="8"/>
    </row>
    <row r="929">
      <c r="E929" s="8"/>
    </row>
    <row r="930">
      <c r="E930" s="8"/>
    </row>
    <row r="931">
      <c r="E931" s="8"/>
    </row>
    <row r="932">
      <c r="E932" s="8"/>
    </row>
    <row r="933">
      <c r="E933" s="8"/>
    </row>
    <row r="934">
      <c r="E934" s="8"/>
    </row>
    <row r="935">
      <c r="E935" s="8"/>
    </row>
    <row r="936">
      <c r="E936" s="8"/>
    </row>
    <row r="937">
      <c r="E937" s="8"/>
    </row>
    <row r="938">
      <c r="E938" s="8"/>
    </row>
    <row r="939">
      <c r="E939" s="8"/>
    </row>
    <row r="940">
      <c r="E940" s="8"/>
    </row>
    <row r="941">
      <c r="E941" s="8"/>
    </row>
    <row r="942">
      <c r="E942" s="8"/>
    </row>
    <row r="943">
      <c r="E943" s="8"/>
    </row>
    <row r="944">
      <c r="E944" s="8"/>
    </row>
    <row r="945">
      <c r="E945" s="8"/>
    </row>
    <row r="946">
      <c r="E946" s="8"/>
    </row>
    <row r="947">
      <c r="E947" s="8"/>
    </row>
    <row r="948">
      <c r="E948" s="8"/>
    </row>
    <row r="949">
      <c r="E949" s="8"/>
    </row>
    <row r="950">
      <c r="E950" s="8"/>
    </row>
    <row r="951">
      <c r="E951" s="8"/>
    </row>
    <row r="952">
      <c r="E952" s="8"/>
    </row>
    <row r="953">
      <c r="E953" s="8"/>
    </row>
    <row r="954">
      <c r="E954" s="8"/>
    </row>
    <row r="955">
      <c r="E955" s="8"/>
    </row>
    <row r="956">
      <c r="E956" s="8"/>
    </row>
    <row r="957">
      <c r="E957" s="8"/>
    </row>
    <row r="958">
      <c r="E958" s="8"/>
    </row>
    <row r="959">
      <c r="E959" s="8"/>
    </row>
    <row r="960">
      <c r="E960" s="8"/>
    </row>
    <row r="961">
      <c r="E961" s="8"/>
    </row>
    <row r="962">
      <c r="E962" s="8"/>
    </row>
    <row r="963">
      <c r="E963" s="8"/>
    </row>
    <row r="964">
      <c r="E964" s="8"/>
    </row>
    <row r="965">
      <c r="E965" s="8"/>
    </row>
    <row r="966">
      <c r="E966" s="8"/>
    </row>
    <row r="967">
      <c r="E967" s="8"/>
    </row>
    <row r="968">
      <c r="E968" s="8"/>
    </row>
    <row r="969">
      <c r="E969" s="8"/>
    </row>
    <row r="970">
      <c r="E970" s="8"/>
    </row>
    <row r="971">
      <c r="E971" s="8"/>
    </row>
    <row r="972">
      <c r="E972" s="8"/>
    </row>
    <row r="973">
      <c r="E973" s="8"/>
    </row>
    <row r="974">
      <c r="E974" s="8"/>
    </row>
    <row r="975">
      <c r="E975" s="8"/>
    </row>
    <row r="976">
      <c r="E976" s="8"/>
    </row>
    <row r="977">
      <c r="E977" s="8"/>
    </row>
    <row r="978">
      <c r="E978" s="8"/>
    </row>
    <row r="979">
      <c r="E979" s="8"/>
    </row>
    <row r="980">
      <c r="E980" s="8"/>
    </row>
    <row r="981">
      <c r="E981" s="8"/>
    </row>
    <row r="982">
      <c r="E982" s="8"/>
    </row>
    <row r="983">
      <c r="E983" s="8"/>
    </row>
    <row r="984">
      <c r="E984" s="8"/>
    </row>
    <row r="985">
      <c r="E985" s="8"/>
    </row>
    <row r="986">
      <c r="E986" s="8"/>
    </row>
    <row r="987">
      <c r="E987" s="8"/>
    </row>
    <row r="988">
      <c r="E988" s="8"/>
    </row>
    <row r="989">
      <c r="E989" s="8"/>
    </row>
    <row r="990">
      <c r="E990" s="8"/>
    </row>
    <row r="991">
      <c r="E991" s="8"/>
    </row>
    <row r="992">
      <c r="E992" s="8"/>
    </row>
    <row r="993">
      <c r="E993" s="8"/>
    </row>
    <row r="994">
      <c r="E994" s="8"/>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19.25"/>
    <col customWidth="1" min="5" max="5" width="19.75"/>
    <col customWidth="1" min="7" max="7" width="20.13"/>
  </cols>
  <sheetData>
    <row r="1">
      <c r="A1" s="1" t="s">
        <v>1</v>
      </c>
      <c r="B1" s="1" t="s">
        <v>96</v>
      </c>
      <c r="C1" s="1" t="s">
        <v>17</v>
      </c>
      <c r="D1" s="1" t="s">
        <v>6</v>
      </c>
      <c r="E1" s="1" t="s">
        <v>65</v>
      </c>
      <c r="F1" s="1" t="s">
        <v>101</v>
      </c>
      <c r="G1" s="1" t="s">
        <v>18</v>
      </c>
    </row>
    <row r="2">
      <c r="A2" s="2" t="s">
        <v>107</v>
      </c>
      <c r="B2" s="2" t="s">
        <v>110</v>
      </c>
      <c r="C2" s="3">
        <v>1315000.0</v>
      </c>
      <c r="D2" s="6">
        <v>46291.0</v>
      </c>
      <c r="E2" s="2" t="s">
        <v>121</v>
      </c>
      <c r="F2" s="2" t="s">
        <v>46</v>
      </c>
      <c r="G2" s="2" t="s">
        <v>122</v>
      </c>
    </row>
    <row r="3">
      <c r="A3" s="2" t="s">
        <v>125</v>
      </c>
      <c r="B3" s="2" t="s">
        <v>126</v>
      </c>
      <c r="C3" s="3">
        <v>920000.0</v>
      </c>
      <c r="D3" s="6">
        <v>46291.0</v>
      </c>
      <c r="E3" s="2" t="s">
        <v>121</v>
      </c>
      <c r="F3" s="2" t="s">
        <v>46</v>
      </c>
      <c r="G3" s="2" t="s">
        <v>127</v>
      </c>
    </row>
    <row r="4">
      <c r="A4" s="2" t="s">
        <v>128</v>
      </c>
      <c r="B4" s="2" t="s">
        <v>130</v>
      </c>
      <c r="C4" s="3">
        <v>408000.0</v>
      </c>
      <c r="D4" s="6">
        <v>46291.0</v>
      </c>
      <c r="E4" s="2" t="s">
        <v>121</v>
      </c>
      <c r="F4" s="2" t="s">
        <v>46</v>
      </c>
      <c r="G4" s="2" t="s">
        <v>127</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22.0"/>
    <col customWidth="1" min="6" max="6" width="17.13"/>
    <col customWidth="1" min="8" max="8" width="22.63"/>
  </cols>
  <sheetData>
    <row r="1">
      <c r="A1" s="1" t="s">
        <v>1</v>
      </c>
      <c r="B1" s="1" t="s">
        <v>6</v>
      </c>
      <c r="C1" s="1" t="s">
        <v>15</v>
      </c>
      <c r="D1" s="1" t="s">
        <v>16</v>
      </c>
      <c r="E1" s="1" t="s">
        <v>17</v>
      </c>
      <c r="F1" s="1" t="s">
        <v>175</v>
      </c>
      <c r="G1" s="1" t="s">
        <v>12</v>
      </c>
      <c r="H1" s="1" t="s">
        <v>13</v>
      </c>
      <c r="I1" s="1" t="s">
        <v>18</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1</v>
      </c>
      <c r="B1" s="1" t="s">
        <v>176</v>
      </c>
      <c r="C1" s="1" t="s">
        <v>177</v>
      </c>
      <c r="D1" s="1" t="s">
        <v>178</v>
      </c>
      <c r="E1" s="1" t="s">
        <v>25</v>
      </c>
      <c r="F1" s="1" t="s">
        <v>179</v>
      </c>
      <c r="G1" s="1" t="s">
        <v>10</v>
      </c>
      <c r="H1" s="1" t="s">
        <v>180</v>
      </c>
      <c r="I1" s="1" t="s">
        <v>181</v>
      </c>
      <c r="J1" s="1" t="s">
        <v>182</v>
      </c>
      <c r="K1" s="1" t="s">
        <v>65</v>
      </c>
      <c r="L1" s="1" t="s">
        <v>12</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9.5"/>
  </cols>
  <sheetData>
    <row r="1">
      <c r="A1" s="1" t="s">
        <v>1</v>
      </c>
      <c r="B1" s="1" t="s">
        <v>6</v>
      </c>
      <c r="C1" s="1" t="s">
        <v>183</v>
      </c>
      <c r="D1" s="1" t="s">
        <v>184</v>
      </c>
      <c r="E1" s="1" t="s">
        <v>61</v>
      </c>
      <c r="F1" s="1" t="s">
        <v>185</v>
      </c>
      <c r="G1" s="1" t="s">
        <v>186</v>
      </c>
      <c r="H1" s="1" t="s">
        <v>187</v>
      </c>
      <c r="I1" s="1" t="s">
        <v>188</v>
      </c>
      <c r="J1" s="1" t="s">
        <v>189</v>
      </c>
      <c r="K1" s="1" t="s">
        <v>190</v>
      </c>
      <c r="L1" s="1" t="s">
        <v>191</v>
      </c>
      <c r="M1" s="1" t="s">
        <v>192</v>
      </c>
      <c r="N1" s="1" t="s">
        <v>193</v>
      </c>
      <c r="O1" s="1" t="s">
        <v>194</v>
      </c>
      <c r="P1" s="1" t="s">
        <v>65</v>
      </c>
      <c r="Q1" s="1" t="s">
        <v>12</v>
      </c>
      <c r="R1" s="1" t="s">
        <v>13</v>
      </c>
      <c r="S1" s="1" t="s">
        <v>18</v>
      </c>
      <c r="T1" s="2" t="s">
        <v>195</v>
      </c>
      <c r="U1" s="2" t="s">
        <v>196</v>
      </c>
    </row>
    <row r="2">
      <c r="A2" s="2" t="s">
        <v>197</v>
      </c>
      <c r="B2" s="6">
        <v>46297.0</v>
      </c>
      <c r="C2" s="9">
        <v>46296.0</v>
      </c>
      <c r="D2" s="2" t="s">
        <v>66</v>
      </c>
      <c r="E2" s="2" t="s">
        <v>68</v>
      </c>
      <c r="F2" s="3">
        <v>130000.0</v>
      </c>
      <c r="G2" s="3">
        <v>130000.0</v>
      </c>
      <c r="H2" s="3">
        <v>130000.0</v>
      </c>
      <c r="I2" s="3">
        <v>0.0</v>
      </c>
      <c r="J2" s="3">
        <v>0.0</v>
      </c>
      <c r="K2" s="3">
        <v>130000.0</v>
      </c>
      <c r="L2" s="3">
        <v>0.0</v>
      </c>
      <c r="M2" s="3">
        <v>0.0</v>
      </c>
      <c r="N2" s="3">
        <v>0.0</v>
      </c>
      <c r="O2" s="3">
        <v>0.0</v>
      </c>
      <c r="Q2" s="2" t="s">
        <v>46</v>
      </c>
      <c r="R2" s="2" t="s">
        <v>198</v>
      </c>
      <c r="S2" s="2" t="s">
        <v>199</v>
      </c>
    </row>
    <row r="3">
      <c r="A3" s="2" t="s">
        <v>200</v>
      </c>
      <c r="B3" s="6">
        <v>46297.0</v>
      </c>
      <c r="C3" s="9">
        <v>46296.0</v>
      </c>
      <c r="D3" s="2" t="s">
        <v>82</v>
      </c>
      <c r="E3" s="2" t="s">
        <v>83</v>
      </c>
      <c r="F3" s="3">
        <v>120000.0</v>
      </c>
      <c r="G3" s="3">
        <v>120000.0</v>
      </c>
      <c r="H3" s="3">
        <v>120000.0</v>
      </c>
      <c r="I3" s="3">
        <v>0.0</v>
      </c>
      <c r="J3" s="3">
        <v>0.0</v>
      </c>
      <c r="K3" s="3">
        <v>120000.0</v>
      </c>
      <c r="L3" s="3">
        <v>0.0</v>
      </c>
      <c r="M3" s="3">
        <v>0.0</v>
      </c>
      <c r="N3" s="3">
        <v>0.0</v>
      </c>
      <c r="O3" s="3">
        <v>0.0</v>
      </c>
      <c r="Q3" s="2" t="s">
        <v>46</v>
      </c>
      <c r="R3" s="2" t="s">
        <v>201</v>
      </c>
      <c r="S3" s="2" t="s">
        <v>202</v>
      </c>
    </row>
    <row r="4">
      <c r="A4" s="2" t="s">
        <v>203</v>
      </c>
      <c r="B4" s="6">
        <v>46297.0</v>
      </c>
      <c r="C4" s="9">
        <v>46296.0</v>
      </c>
      <c r="D4" s="2" t="s">
        <v>74</v>
      </c>
      <c r="E4" s="2" t="s">
        <v>75</v>
      </c>
      <c r="F4" s="3">
        <v>270000.0</v>
      </c>
      <c r="G4" s="3">
        <v>270000.0</v>
      </c>
      <c r="H4" s="3">
        <v>270000.0</v>
      </c>
      <c r="I4" s="3">
        <v>0.0</v>
      </c>
      <c r="J4" s="3">
        <v>0.0</v>
      </c>
      <c r="K4" s="3">
        <v>270000.0</v>
      </c>
      <c r="L4" s="3">
        <v>0.0</v>
      </c>
      <c r="M4" s="3">
        <v>0.0</v>
      </c>
      <c r="N4" s="3">
        <v>0.0</v>
      </c>
      <c r="O4" s="3">
        <v>0.0</v>
      </c>
      <c r="Q4" s="2" t="s">
        <v>46</v>
      </c>
      <c r="R4" s="2" t="s">
        <v>204</v>
      </c>
      <c r="S4" s="2" t="s">
        <v>205</v>
      </c>
    </row>
    <row r="5">
      <c r="A5" s="2" t="s">
        <v>206</v>
      </c>
      <c r="B5" s="6">
        <v>46297.0</v>
      </c>
      <c r="C5" s="9">
        <v>46296.0</v>
      </c>
      <c r="D5" s="2" t="s">
        <v>144</v>
      </c>
      <c r="E5" s="2" t="s">
        <v>146</v>
      </c>
      <c r="F5" s="3">
        <v>110000.0</v>
      </c>
      <c r="G5" s="3">
        <v>110000.0</v>
      </c>
      <c r="H5" s="3">
        <v>110000.0</v>
      </c>
      <c r="I5" s="3">
        <v>0.0</v>
      </c>
      <c r="J5" s="3">
        <v>0.0</v>
      </c>
      <c r="K5" s="3">
        <v>110000.0</v>
      </c>
      <c r="L5" s="3">
        <v>0.0</v>
      </c>
      <c r="M5" s="3">
        <v>0.0</v>
      </c>
      <c r="N5" s="3">
        <v>0.0</v>
      </c>
      <c r="O5" s="3">
        <v>0.0</v>
      </c>
      <c r="Q5" s="2" t="s">
        <v>46</v>
      </c>
      <c r="R5" s="2" t="s">
        <v>207</v>
      </c>
      <c r="S5" s="2" t="s">
        <v>208</v>
      </c>
    </row>
    <row r="6">
      <c r="A6" s="2" t="s">
        <v>209</v>
      </c>
      <c r="B6" s="6">
        <v>46297.0</v>
      </c>
      <c r="C6" s="9">
        <v>46296.0</v>
      </c>
      <c r="D6" s="2" t="s">
        <v>147</v>
      </c>
      <c r="E6" s="2" t="s">
        <v>148</v>
      </c>
      <c r="F6" s="3">
        <v>70000.0</v>
      </c>
      <c r="G6" s="3">
        <v>70000.0</v>
      </c>
      <c r="H6" s="3">
        <v>70000.0</v>
      </c>
      <c r="I6" s="3">
        <v>0.0</v>
      </c>
      <c r="J6" s="3">
        <v>0.0</v>
      </c>
      <c r="K6" s="3">
        <v>70000.0</v>
      </c>
      <c r="L6" s="3">
        <v>0.0</v>
      </c>
      <c r="M6" s="3">
        <v>0.0</v>
      </c>
      <c r="N6" s="3">
        <v>0.0</v>
      </c>
      <c r="O6" s="3">
        <v>0.0</v>
      </c>
      <c r="Q6" s="2" t="s">
        <v>46</v>
      </c>
      <c r="R6" s="2" t="s">
        <v>210</v>
      </c>
      <c r="S6" s="2" t="s">
        <v>211</v>
      </c>
    </row>
    <row r="7">
      <c r="A7" s="2" t="s">
        <v>212</v>
      </c>
      <c r="B7" s="6">
        <v>46298.0</v>
      </c>
      <c r="C7" s="9">
        <v>46296.0</v>
      </c>
      <c r="D7" s="2" t="s">
        <v>108</v>
      </c>
      <c r="E7" s="2" t="s">
        <v>111</v>
      </c>
      <c r="F7" s="3">
        <v>60000.0</v>
      </c>
      <c r="G7" s="3">
        <v>60000.0</v>
      </c>
      <c r="H7" s="3">
        <v>60000.0</v>
      </c>
      <c r="I7" s="3">
        <v>0.0</v>
      </c>
      <c r="J7" s="3">
        <v>0.0</v>
      </c>
      <c r="K7" s="3">
        <v>60000.0</v>
      </c>
      <c r="L7" s="3">
        <v>0.0</v>
      </c>
      <c r="M7" s="3">
        <v>0.0</v>
      </c>
      <c r="N7" s="3">
        <v>0.0</v>
      </c>
      <c r="O7" s="3">
        <v>0.0</v>
      </c>
      <c r="Q7" s="2" t="s">
        <v>46</v>
      </c>
      <c r="R7" s="2" t="s">
        <v>213</v>
      </c>
      <c r="S7" s="2" t="s">
        <v>214</v>
      </c>
    </row>
    <row r="8">
      <c r="A8" s="2" t="s">
        <v>215</v>
      </c>
      <c r="B8" s="6">
        <v>46299.0</v>
      </c>
      <c r="C8" s="9">
        <v>46296.0</v>
      </c>
      <c r="D8" s="2" t="s">
        <v>90</v>
      </c>
      <c r="E8" s="2" t="s">
        <v>91</v>
      </c>
      <c r="F8" s="3">
        <v>90000.0</v>
      </c>
      <c r="G8" s="3">
        <v>90000.0</v>
      </c>
      <c r="H8" s="3">
        <v>90000.0</v>
      </c>
      <c r="I8" s="3">
        <v>0.0</v>
      </c>
      <c r="J8" s="3">
        <v>0.0</v>
      </c>
      <c r="K8" s="3">
        <v>90000.0</v>
      </c>
      <c r="L8" s="3">
        <v>0.0</v>
      </c>
      <c r="M8" s="3">
        <v>0.0</v>
      </c>
      <c r="N8" s="3">
        <v>0.0</v>
      </c>
      <c r="O8" s="3">
        <v>0.0</v>
      </c>
      <c r="Q8" s="2" t="s">
        <v>46</v>
      </c>
      <c r="R8" s="2" t="s">
        <v>216</v>
      </c>
      <c r="S8" s="2" t="s">
        <v>216</v>
      </c>
    </row>
    <row r="9">
      <c r="A9" s="2" t="s">
        <v>217</v>
      </c>
      <c r="B9" s="6">
        <v>46299.0</v>
      </c>
      <c r="C9" s="9">
        <v>46296.0</v>
      </c>
      <c r="D9" s="2" t="s">
        <v>142</v>
      </c>
      <c r="E9" s="2" t="s">
        <v>143</v>
      </c>
      <c r="F9" s="3">
        <v>270000.0</v>
      </c>
      <c r="G9" s="3">
        <v>270000.0</v>
      </c>
      <c r="H9" s="3">
        <v>270000.0</v>
      </c>
      <c r="I9" s="3">
        <v>0.0</v>
      </c>
      <c r="J9" s="3">
        <v>0.0</v>
      </c>
      <c r="K9" s="3">
        <v>270000.0</v>
      </c>
      <c r="L9" s="3">
        <v>0.0</v>
      </c>
      <c r="M9" s="3">
        <v>0.0</v>
      </c>
      <c r="N9" s="3">
        <v>0.0</v>
      </c>
      <c r="O9" s="3">
        <v>0.0</v>
      </c>
      <c r="Q9" s="2" t="s">
        <v>46</v>
      </c>
      <c r="R9" s="2" t="s">
        <v>218</v>
      </c>
      <c r="S9" s="2" t="s">
        <v>219</v>
      </c>
    </row>
    <row r="10">
      <c r="A10" s="2" t="s">
        <v>220</v>
      </c>
      <c r="B10" s="6">
        <v>46302.0</v>
      </c>
      <c r="C10" s="9">
        <v>46296.0</v>
      </c>
      <c r="D10" s="2" t="s">
        <v>105</v>
      </c>
      <c r="E10" s="2" t="s">
        <v>106</v>
      </c>
      <c r="F10" s="3">
        <v>40000.0</v>
      </c>
      <c r="G10" s="3">
        <v>40000.0</v>
      </c>
      <c r="H10" s="3">
        <v>40000.0</v>
      </c>
      <c r="I10" s="3">
        <v>0.0</v>
      </c>
      <c r="J10" s="3">
        <v>0.0</v>
      </c>
      <c r="K10" s="3">
        <v>40000.0</v>
      </c>
      <c r="L10" s="3">
        <v>0.0</v>
      </c>
      <c r="M10" s="3">
        <v>0.0</v>
      </c>
      <c r="N10" s="3">
        <v>0.0</v>
      </c>
      <c r="O10" s="3">
        <v>0.0</v>
      </c>
      <c r="Q10" s="2" t="s">
        <v>46</v>
      </c>
      <c r="R10" s="2" t="s">
        <v>221</v>
      </c>
      <c r="S10" s="2" t="s">
        <v>221</v>
      </c>
    </row>
    <row r="11">
      <c r="A11" s="2" t="s">
        <v>222</v>
      </c>
      <c r="B11" s="6">
        <v>46302.0</v>
      </c>
      <c r="C11" s="9">
        <v>46296.0</v>
      </c>
      <c r="D11" s="2" t="s">
        <v>99</v>
      </c>
      <c r="E11" s="2" t="s">
        <v>100</v>
      </c>
      <c r="F11" s="3">
        <v>40000.0</v>
      </c>
      <c r="G11" s="3">
        <v>40000.0</v>
      </c>
      <c r="H11" s="3">
        <v>40000.0</v>
      </c>
      <c r="I11" s="3">
        <v>0.0</v>
      </c>
      <c r="J11" s="3">
        <v>0.0</v>
      </c>
      <c r="K11" s="3">
        <v>40000.0</v>
      </c>
      <c r="L11" s="3">
        <v>0.0</v>
      </c>
      <c r="M11" s="3">
        <v>0.0</v>
      </c>
      <c r="N11" s="3">
        <v>0.0</v>
      </c>
      <c r="O11" s="3">
        <v>0.0</v>
      </c>
      <c r="Q11" s="2" t="s">
        <v>46</v>
      </c>
      <c r="R11" s="2" t="s">
        <v>223</v>
      </c>
      <c r="S11" s="2" t="s">
        <v>224</v>
      </c>
    </row>
    <row r="12">
      <c r="A12" s="2" t="s">
        <v>225</v>
      </c>
      <c r="B12" s="6">
        <v>46302.0</v>
      </c>
      <c r="C12" s="9">
        <v>46296.0</v>
      </c>
      <c r="D12" s="2" t="s">
        <v>80</v>
      </c>
      <c r="E12" s="2" t="s">
        <v>81</v>
      </c>
      <c r="F12" s="3">
        <v>30000.0</v>
      </c>
      <c r="G12" s="3">
        <v>30000.0</v>
      </c>
      <c r="H12" s="3">
        <v>30000.0</v>
      </c>
      <c r="I12" s="3">
        <v>0.0</v>
      </c>
      <c r="J12" s="3">
        <v>0.0</v>
      </c>
      <c r="K12" s="3">
        <v>30000.0</v>
      </c>
      <c r="L12" s="3">
        <v>0.0</v>
      </c>
      <c r="M12" s="3">
        <v>0.0</v>
      </c>
      <c r="N12" s="3">
        <v>0.0</v>
      </c>
      <c r="O12" s="3">
        <v>0.0</v>
      </c>
      <c r="Q12" s="2" t="s">
        <v>46</v>
      </c>
      <c r="R12" s="2" t="s">
        <v>226</v>
      </c>
      <c r="S12" s="2" t="s">
        <v>227</v>
      </c>
    </row>
    <row r="13">
      <c r="A13" s="2" t="s">
        <v>228</v>
      </c>
      <c r="B13" s="6">
        <v>46302.0</v>
      </c>
      <c r="C13" s="9">
        <v>46296.0</v>
      </c>
      <c r="D13" s="2" t="s">
        <v>135</v>
      </c>
      <c r="E13" s="2" t="s">
        <v>136</v>
      </c>
      <c r="F13" s="3">
        <v>100000.0</v>
      </c>
      <c r="G13" s="3">
        <v>100000.0</v>
      </c>
      <c r="H13" s="3">
        <v>100000.0</v>
      </c>
      <c r="I13" s="3">
        <v>0.0</v>
      </c>
      <c r="J13" s="3">
        <v>0.0</v>
      </c>
      <c r="K13" s="3">
        <v>100000.0</v>
      </c>
      <c r="L13" s="3">
        <v>0.0</v>
      </c>
      <c r="M13" s="3">
        <v>0.0</v>
      </c>
      <c r="N13" s="3">
        <v>0.0</v>
      </c>
      <c r="O13" s="3">
        <v>0.0</v>
      </c>
      <c r="Q13" s="2" t="s">
        <v>46</v>
      </c>
      <c r="R13" s="2" t="s">
        <v>229</v>
      </c>
      <c r="S13" s="2" t="s">
        <v>230</v>
      </c>
    </row>
    <row r="14">
      <c r="A14" s="2" t="s">
        <v>231</v>
      </c>
      <c r="B14" s="6">
        <v>46303.0</v>
      </c>
      <c r="C14" s="9">
        <v>46296.0</v>
      </c>
      <c r="D14" s="2" t="s">
        <v>120</v>
      </c>
      <c r="E14" s="2" t="s">
        <v>28</v>
      </c>
      <c r="F14" s="3">
        <v>50000.0</v>
      </c>
      <c r="G14" s="3">
        <v>50000.0</v>
      </c>
      <c r="H14" s="3">
        <v>50000.0</v>
      </c>
      <c r="I14" s="3">
        <v>0.0</v>
      </c>
      <c r="J14" s="3">
        <v>0.0</v>
      </c>
      <c r="K14" s="3">
        <v>50000.0</v>
      </c>
      <c r="L14" s="3">
        <v>0.0</v>
      </c>
      <c r="M14" s="3">
        <v>0.0</v>
      </c>
      <c r="N14" s="3">
        <v>0.0</v>
      </c>
      <c r="O14" s="3">
        <v>0.0</v>
      </c>
      <c r="Q14" s="2" t="s">
        <v>46</v>
      </c>
      <c r="R14" s="2" t="s">
        <v>232</v>
      </c>
      <c r="S14" s="2" t="s">
        <v>233</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1</v>
      </c>
      <c r="B1" s="1" t="s">
        <v>6</v>
      </c>
      <c r="C1" s="1" t="s">
        <v>14</v>
      </c>
      <c r="D1" s="1" t="s">
        <v>15</v>
      </c>
      <c r="E1" s="1" t="s">
        <v>17</v>
      </c>
      <c r="F1" s="1" t="s">
        <v>16</v>
      </c>
      <c r="G1" s="1" t="s">
        <v>12</v>
      </c>
      <c r="H1" s="1" t="s">
        <v>13</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1</v>
      </c>
      <c r="B1" s="1" t="s">
        <v>6</v>
      </c>
      <c r="C1" s="1" t="s">
        <v>14</v>
      </c>
      <c r="D1" s="1" t="s">
        <v>234</v>
      </c>
      <c r="E1" s="1" t="s">
        <v>235</v>
      </c>
      <c r="F1" s="1" t="s">
        <v>17</v>
      </c>
      <c r="G1" s="1" t="s">
        <v>65</v>
      </c>
      <c r="H1" s="1" t="s">
        <v>12</v>
      </c>
      <c r="I1" s="1" t="s">
        <v>13</v>
      </c>
      <c r="J1" s="1" t="s">
        <v>184</v>
      </c>
      <c r="K1" s="1" t="s">
        <v>61</v>
      </c>
      <c r="L1" s="1" t="s">
        <v>187</v>
      </c>
      <c r="M1" s="1" t="s">
        <v>188</v>
      </c>
      <c r="N1" s="1" t="s">
        <v>189</v>
      </c>
      <c r="O1" s="1" t="s">
        <v>193</v>
      </c>
      <c r="P1" s="1" t="s">
        <v>194</v>
      </c>
      <c r="Q1" s="1" t="s">
        <v>191</v>
      </c>
      <c r="R1" s="1" t="s">
        <v>236</v>
      </c>
      <c r="S1" s="2" t="s">
        <v>195</v>
      </c>
      <c r="T1" s="2" t="s">
        <v>190</v>
      </c>
      <c r="U1" s="2" t="s">
        <v>196</v>
      </c>
    </row>
    <row r="2">
      <c r="A2" s="2" t="s">
        <v>237</v>
      </c>
      <c r="B2" s="6">
        <v>46297.0</v>
      </c>
      <c r="C2" s="2" t="s">
        <v>238</v>
      </c>
      <c r="D2" s="2" t="s">
        <v>68</v>
      </c>
      <c r="F2" s="3">
        <v>80000.0</v>
      </c>
      <c r="H2" s="2" t="s">
        <v>46</v>
      </c>
      <c r="I2" s="2" t="s">
        <v>239</v>
      </c>
      <c r="J2" s="2" t="s">
        <v>66</v>
      </c>
      <c r="K2" s="2" t="s">
        <v>68</v>
      </c>
      <c r="L2" s="3">
        <v>80000.0</v>
      </c>
      <c r="M2" s="3">
        <v>0.0</v>
      </c>
      <c r="N2" s="3">
        <v>0.0</v>
      </c>
      <c r="O2" s="3">
        <v>0.0</v>
      </c>
      <c r="P2" s="3">
        <v>0.0</v>
      </c>
      <c r="Q2" s="3">
        <v>0.0</v>
      </c>
      <c r="S2" s="3">
        <v>0.0</v>
      </c>
      <c r="T2" s="3">
        <v>80000.0</v>
      </c>
    </row>
    <row r="3">
      <c r="A3" s="2" t="s">
        <v>240</v>
      </c>
      <c r="B3" s="6">
        <v>46297.0</v>
      </c>
      <c r="C3" s="2" t="s">
        <v>238</v>
      </c>
      <c r="D3" s="2" t="s">
        <v>83</v>
      </c>
      <c r="F3" s="3">
        <v>50000.0</v>
      </c>
      <c r="H3" s="2" t="s">
        <v>46</v>
      </c>
      <c r="I3" s="2" t="s">
        <v>241</v>
      </c>
      <c r="J3" s="2" t="s">
        <v>82</v>
      </c>
      <c r="K3" s="2" t="s">
        <v>83</v>
      </c>
      <c r="L3" s="3">
        <v>50000.0</v>
      </c>
      <c r="M3" s="3">
        <v>0.0</v>
      </c>
      <c r="N3" s="3">
        <v>0.0</v>
      </c>
      <c r="O3" s="3">
        <v>0.0</v>
      </c>
      <c r="P3" s="3">
        <v>0.0</v>
      </c>
      <c r="Q3" s="3">
        <v>0.0</v>
      </c>
      <c r="S3" s="3">
        <v>0.0</v>
      </c>
      <c r="T3" s="3">
        <v>50000.0</v>
      </c>
    </row>
    <row r="4">
      <c r="A4" s="2" t="s">
        <v>246</v>
      </c>
      <c r="B4" s="6">
        <v>46297.0</v>
      </c>
      <c r="C4" s="2" t="s">
        <v>238</v>
      </c>
      <c r="D4" s="2" t="s">
        <v>75</v>
      </c>
      <c r="F4" s="3">
        <v>105000.0</v>
      </c>
      <c r="H4" s="2" t="s">
        <v>46</v>
      </c>
      <c r="I4" s="2" t="s">
        <v>248</v>
      </c>
      <c r="J4" s="2" t="s">
        <v>74</v>
      </c>
      <c r="K4" s="2" t="s">
        <v>75</v>
      </c>
      <c r="L4" s="3">
        <v>105000.0</v>
      </c>
      <c r="M4" s="3">
        <v>0.0</v>
      </c>
      <c r="N4" s="3">
        <v>0.0</v>
      </c>
      <c r="O4" s="3">
        <v>0.0</v>
      </c>
      <c r="P4" s="3">
        <v>0.0</v>
      </c>
      <c r="Q4" s="3">
        <v>0.0</v>
      </c>
      <c r="S4" s="3">
        <v>0.0</v>
      </c>
      <c r="T4" s="3">
        <v>105000.0</v>
      </c>
    </row>
    <row r="5">
      <c r="A5" s="2" t="s">
        <v>250</v>
      </c>
      <c r="B5" s="6">
        <v>46297.0</v>
      </c>
      <c r="C5" s="2" t="s">
        <v>238</v>
      </c>
      <c r="D5" s="2" t="s">
        <v>146</v>
      </c>
      <c r="F5" s="3">
        <v>30000.0</v>
      </c>
      <c r="H5" s="2" t="s">
        <v>46</v>
      </c>
      <c r="I5" s="2" t="s">
        <v>251</v>
      </c>
      <c r="J5" s="2" t="s">
        <v>144</v>
      </c>
      <c r="K5" s="2" t="s">
        <v>146</v>
      </c>
      <c r="L5" s="3">
        <v>30000.0</v>
      </c>
      <c r="M5" s="3">
        <v>0.0</v>
      </c>
      <c r="N5" s="3">
        <v>0.0</v>
      </c>
      <c r="O5" s="3">
        <v>0.0</v>
      </c>
      <c r="P5" s="3">
        <v>0.0</v>
      </c>
      <c r="Q5" s="3">
        <v>0.0</v>
      </c>
      <c r="S5" s="3">
        <v>0.0</v>
      </c>
      <c r="T5" s="3">
        <v>30000.0</v>
      </c>
    </row>
    <row r="6">
      <c r="A6" s="2" t="s">
        <v>252</v>
      </c>
      <c r="B6" s="6">
        <v>46297.0</v>
      </c>
      <c r="C6" s="2" t="s">
        <v>238</v>
      </c>
      <c r="D6" s="2" t="s">
        <v>148</v>
      </c>
      <c r="F6" s="3">
        <v>40000.0</v>
      </c>
      <c r="H6" s="2" t="s">
        <v>46</v>
      </c>
      <c r="I6" s="2" t="s">
        <v>253</v>
      </c>
      <c r="J6" s="2" t="s">
        <v>147</v>
      </c>
      <c r="K6" s="2" t="s">
        <v>148</v>
      </c>
      <c r="L6" s="3">
        <v>40000.0</v>
      </c>
      <c r="M6" s="3">
        <v>0.0</v>
      </c>
      <c r="N6" s="3">
        <v>0.0</v>
      </c>
      <c r="O6" s="3">
        <v>0.0</v>
      </c>
      <c r="P6" s="3">
        <v>0.0</v>
      </c>
      <c r="Q6" s="3">
        <v>0.0</v>
      </c>
      <c r="S6" s="3">
        <v>0.0</v>
      </c>
      <c r="T6" s="3">
        <v>40000.0</v>
      </c>
    </row>
    <row r="7">
      <c r="A7" s="2" t="s">
        <v>254</v>
      </c>
      <c r="B7" s="6">
        <v>46297.0</v>
      </c>
      <c r="C7" s="2" t="s">
        <v>238</v>
      </c>
      <c r="D7" s="2" t="s">
        <v>89</v>
      </c>
      <c r="F7" s="3">
        <v>5000.0</v>
      </c>
      <c r="H7" s="2" t="s">
        <v>46</v>
      </c>
      <c r="I7" s="2" t="s">
        <v>255</v>
      </c>
      <c r="J7" s="2" t="s">
        <v>88</v>
      </c>
      <c r="K7" s="2" t="s">
        <v>89</v>
      </c>
      <c r="L7" s="3">
        <v>5000.0</v>
      </c>
      <c r="M7" s="3">
        <v>0.0</v>
      </c>
      <c r="N7" s="3">
        <v>0.0</v>
      </c>
      <c r="O7" s="3">
        <v>0.0</v>
      </c>
      <c r="P7" s="3">
        <v>0.0</v>
      </c>
      <c r="Q7" s="3">
        <v>0.0</v>
      </c>
      <c r="S7" s="3">
        <v>0.0</v>
      </c>
      <c r="T7" s="3">
        <v>5000.0</v>
      </c>
    </row>
    <row r="8">
      <c r="A8" s="2" t="s">
        <v>256</v>
      </c>
      <c r="B8" s="6">
        <v>46298.0</v>
      </c>
      <c r="C8" s="2" t="s">
        <v>238</v>
      </c>
      <c r="D8" s="2" t="s">
        <v>111</v>
      </c>
      <c r="F8" s="3">
        <v>45000.0</v>
      </c>
      <c r="H8" s="2" t="s">
        <v>46</v>
      </c>
      <c r="I8" s="2" t="s">
        <v>257</v>
      </c>
      <c r="J8" s="2" t="s">
        <v>108</v>
      </c>
      <c r="K8" s="2" t="s">
        <v>111</v>
      </c>
      <c r="L8" s="3">
        <v>45000.0</v>
      </c>
      <c r="M8" s="3">
        <v>0.0</v>
      </c>
      <c r="N8" s="3">
        <v>0.0</v>
      </c>
      <c r="O8" s="3">
        <v>0.0</v>
      </c>
      <c r="P8" s="3">
        <v>0.0</v>
      </c>
      <c r="Q8" s="3">
        <v>0.0</v>
      </c>
      <c r="S8" s="3">
        <v>0.0</v>
      </c>
      <c r="T8" s="3">
        <v>45000.0</v>
      </c>
    </row>
    <row r="9">
      <c r="A9" s="2" t="s">
        <v>258</v>
      </c>
      <c r="B9" s="6">
        <v>46299.0</v>
      </c>
      <c r="C9" s="2" t="s">
        <v>238</v>
      </c>
      <c r="D9" s="2" t="s">
        <v>91</v>
      </c>
      <c r="F9" s="3">
        <v>105000.0</v>
      </c>
      <c r="H9" s="2" t="s">
        <v>46</v>
      </c>
      <c r="I9" s="2" t="s">
        <v>259</v>
      </c>
      <c r="J9" s="2" t="s">
        <v>90</v>
      </c>
      <c r="K9" s="2" t="s">
        <v>91</v>
      </c>
      <c r="L9" s="3">
        <v>105000.0</v>
      </c>
      <c r="M9" s="3">
        <v>0.0</v>
      </c>
      <c r="N9" s="3">
        <v>0.0</v>
      </c>
      <c r="O9" s="3">
        <v>0.0</v>
      </c>
      <c r="P9" s="3">
        <v>0.0</v>
      </c>
      <c r="Q9" s="3">
        <v>0.0</v>
      </c>
      <c r="S9" s="3">
        <v>0.0</v>
      </c>
      <c r="T9" s="3">
        <v>105000.0</v>
      </c>
    </row>
    <row r="10">
      <c r="A10" s="2" t="s">
        <v>260</v>
      </c>
      <c r="B10" s="6">
        <v>46299.0</v>
      </c>
      <c r="C10" s="2" t="s">
        <v>238</v>
      </c>
      <c r="D10" s="2" t="s">
        <v>143</v>
      </c>
      <c r="F10" s="3">
        <v>105000.0</v>
      </c>
      <c r="H10" s="2" t="s">
        <v>46</v>
      </c>
      <c r="I10" s="2" t="s">
        <v>261</v>
      </c>
      <c r="J10" s="2" t="s">
        <v>142</v>
      </c>
      <c r="K10" s="2" t="s">
        <v>143</v>
      </c>
      <c r="L10" s="3">
        <v>105000.0</v>
      </c>
      <c r="M10" s="3">
        <v>0.0</v>
      </c>
      <c r="N10" s="3">
        <v>0.0</v>
      </c>
      <c r="O10" s="3">
        <v>0.0</v>
      </c>
      <c r="P10" s="3">
        <v>0.0</v>
      </c>
      <c r="Q10" s="3">
        <v>0.0</v>
      </c>
      <c r="S10" s="3">
        <v>0.0</v>
      </c>
      <c r="T10" s="3">
        <v>105000.0</v>
      </c>
    </row>
    <row r="11">
      <c r="A11" s="2" t="s">
        <v>262</v>
      </c>
      <c r="B11" s="6">
        <v>46302.0</v>
      </c>
      <c r="C11" s="2" t="s">
        <v>238</v>
      </c>
      <c r="D11" s="2" t="s">
        <v>106</v>
      </c>
      <c r="F11" s="3">
        <v>20000.0</v>
      </c>
      <c r="H11" s="2" t="s">
        <v>46</v>
      </c>
      <c r="I11" s="2" t="s">
        <v>263</v>
      </c>
      <c r="J11" s="2" t="s">
        <v>105</v>
      </c>
      <c r="K11" s="2" t="s">
        <v>106</v>
      </c>
      <c r="L11" s="3">
        <v>20000.0</v>
      </c>
      <c r="M11" s="3">
        <v>0.0</v>
      </c>
      <c r="N11" s="3">
        <v>0.0</v>
      </c>
      <c r="O11" s="3">
        <v>0.0</v>
      </c>
      <c r="P11" s="3">
        <v>0.0</v>
      </c>
      <c r="Q11" s="3">
        <v>0.0</v>
      </c>
      <c r="S11" s="3">
        <v>0.0</v>
      </c>
      <c r="T11" s="3">
        <v>20000.0</v>
      </c>
    </row>
    <row r="12">
      <c r="A12" s="2" t="s">
        <v>264</v>
      </c>
      <c r="B12" s="6">
        <v>46302.0</v>
      </c>
      <c r="C12" s="2" t="s">
        <v>238</v>
      </c>
      <c r="D12" s="2" t="s">
        <v>100</v>
      </c>
      <c r="F12" s="3">
        <v>20000.0</v>
      </c>
      <c r="H12" s="2" t="s">
        <v>46</v>
      </c>
      <c r="I12" s="2" t="s">
        <v>265</v>
      </c>
      <c r="J12" s="2" t="s">
        <v>99</v>
      </c>
      <c r="K12" s="2" t="s">
        <v>100</v>
      </c>
      <c r="L12" s="3">
        <v>20000.0</v>
      </c>
      <c r="M12" s="3">
        <v>0.0</v>
      </c>
      <c r="N12" s="3">
        <v>0.0</v>
      </c>
      <c r="O12" s="3">
        <v>0.0</v>
      </c>
      <c r="P12" s="3">
        <v>0.0</v>
      </c>
      <c r="Q12" s="3">
        <v>0.0</v>
      </c>
      <c r="S12" s="3">
        <v>0.0</v>
      </c>
      <c r="T12" s="3">
        <v>20000.0</v>
      </c>
    </row>
    <row r="13">
      <c r="A13" s="2" t="s">
        <v>266</v>
      </c>
      <c r="B13" s="6">
        <v>46302.0</v>
      </c>
      <c r="C13" s="2" t="s">
        <v>238</v>
      </c>
      <c r="D13" s="2" t="s">
        <v>81</v>
      </c>
      <c r="F13" s="3">
        <v>15000.0</v>
      </c>
      <c r="H13" s="2" t="s">
        <v>46</v>
      </c>
      <c r="I13" s="2" t="s">
        <v>267</v>
      </c>
      <c r="J13" s="2" t="s">
        <v>80</v>
      </c>
      <c r="K13" s="2" t="s">
        <v>81</v>
      </c>
      <c r="L13" s="3">
        <v>15000.0</v>
      </c>
      <c r="M13" s="3">
        <v>0.0</v>
      </c>
      <c r="N13" s="3">
        <v>0.0</v>
      </c>
      <c r="O13" s="3">
        <v>0.0</v>
      </c>
      <c r="P13" s="3">
        <v>0.0</v>
      </c>
      <c r="Q13" s="3">
        <v>0.0</v>
      </c>
      <c r="S13" s="3">
        <v>0.0</v>
      </c>
      <c r="T13" s="3">
        <v>15000.0</v>
      </c>
    </row>
    <row r="14">
      <c r="A14" s="2" t="s">
        <v>268</v>
      </c>
      <c r="B14" s="6">
        <v>46302.0</v>
      </c>
      <c r="C14" s="2" t="s">
        <v>238</v>
      </c>
      <c r="D14" s="2" t="s">
        <v>136</v>
      </c>
      <c r="F14" s="3">
        <v>95000.0</v>
      </c>
      <c r="H14" s="2" t="s">
        <v>46</v>
      </c>
      <c r="I14" s="2" t="s">
        <v>269</v>
      </c>
      <c r="J14" s="2" t="s">
        <v>135</v>
      </c>
      <c r="K14" s="2" t="s">
        <v>136</v>
      </c>
      <c r="L14" s="3">
        <v>95000.0</v>
      </c>
      <c r="M14" s="3">
        <v>0.0</v>
      </c>
      <c r="N14" s="3">
        <v>0.0</v>
      </c>
      <c r="O14" s="3">
        <v>0.0</v>
      </c>
      <c r="P14" s="3">
        <v>0.0</v>
      </c>
      <c r="Q14" s="3">
        <v>0.0</v>
      </c>
      <c r="S14" s="3">
        <v>0.0</v>
      </c>
      <c r="T14" s="3">
        <v>95000.0</v>
      </c>
    </row>
    <row r="15">
      <c r="A15" s="2" t="s">
        <v>270</v>
      </c>
      <c r="B15" s="6">
        <v>46303.0</v>
      </c>
      <c r="C15" s="2" t="s">
        <v>238</v>
      </c>
      <c r="D15" s="2" t="s">
        <v>28</v>
      </c>
      <c r="F15" s="3">
        <v>20000.0</v>
      </c>
      <c r="H15" s="2" t="s">
        <v>46</v>
      </c>
      <c r="I15" s="2" t="s">
        <v>271</v>
      </c>
      <c r="J15" s="2" t="s">
        <v>120</v>
      </c>
      <c r="K15" s="2" t="s">
        <v>28</v>
      </c>
      <c r="L15" s="3">
        <v>20000.0</v>
      </c>
      <c r="M15" s="3">
        <v>0.0</v>
      </c>
      <c r="N15" s="3">
        <v>0.0</v>
      </c>
      <c r="O15" s="3">
        <v>0.0</v>
      </c>
      <c r="P15" s="3">
        <v>0.0</v>
      </c>
      <c r="Q15" s="3">
        <v>0.0</v>
      </c>
      <c r="S15" s="3">
        <v>0.0</v>
      </c>
      <c r="T15" s="3">
        <v>20000.0</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1</v>
      </c>
      <c r="B1" s="1" t="s">
        <v>6</v>
      </c>
      <c r="C1" s="1" t="s">
        <v>242</v>
      </c>
      <c r="D1" s="1" t="s">
        <v>243</v>
      </c>
      <c r="E1" s="1" t="s">
        <v>244</v>
      </c>
      <c r="F1" s="1" t="s">
        <v>245</v>
      </c>
      <c r="G1" s="1" t="s">
        <v>17</v>
      </c>
      <c r="H1" s="1" t="s">
        <v>65</v>
      </c>
      <c r="I1" s="1" t="s">
        <v>12</v>
      </c>
      <c r="J1" s="1" t="s">
        <v>13</v>
      </c>
      <c r="K1" s="2" t="s">
        <v>247</v>
      </c>
      <c r="L1" s="2" t="s">
        <v>249</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5" max="5" width="15.88"/>
    <col customWidth="1" min="12" max="12" width="26.13"/>
  </cols>
  <sheetData>
    <row r="1">
      <c r="A1" s="1" t="s">
        <v>1</v>
      </c>
      <c r="B1" s="1" t="s">
        <v>6</v>
      </c>
      <c r="C1" s="1" t="s">
        <v>247</v>
      </c>
      <c r="D1" s="1" t="s">
        <v>15</v>
      </c>
      <c r="E1" s="1" t="s">
        <v>244</v>
      </c>
      <c r="F1" s="1" t="s">
        <v>245</v>
      </c>
      <c r="G1" s="1" t="s">
        <v>14</v>
      </c>
      <c r="H1" s="1" t="s">
        <v>17</v>
      </c>
      <c r="I1" s="1" t="s">
        <v>16</v>
      </c>
      <c r="J1" s="1" t="s">
        <v>12</v>
      </c>
      <c r="K1" s="1" t="s">
        <v>13</v>
      </c>
      <c r="L1" s="2" t="s">
        <v>242</v>
      </c>
      <c r="M1" s="2" t="s">
        <v>184</v>
      </c>
      <c r="N1" s="2" t="s">
        <v>249</v>
      </c>
      <c r="O1" s="2" t="s">
        <v>195</v>
      </c>
    </row>
    <row r="2">
      <c r="A2" s="2" t="s">
        <v>273</v>
      </c>
      <c r="B2" s="6">
        <v>46291.0</v>
      </c>
      <c r="C2" s="2" t="s">
        <v>275</v>
      </c>
      <c r="D2" s="2" t="s">
        <v>277</v>
      </c>
      <c r="E2" s="2" t="s">
        <v>282</v>
      </c>
      <c r="F2" s="3">
        <v>1.0</v>
      </c>
      <c r="G2" s="2" t="s">
        <v>238</v>
      </c>
      <c r="H2" s="3">
        <v>0.0</v>
      </c>
      <c r="J2" s="2" t="s">
        <v>29</v>
      </c>
      <c r="K2" s="2" t="s">
        <v>287</v>
      </c>
      <c r="L2" s="2" t="s">
        <v>116</v>
      </c>
      <c r="N2" s="2" t="s">
        <v>289</v>
      </c>
    </row>
    <row r="3">
      <c r="A3" s="2" t="s">
        <v>290</v>
      </c>
      <c r="B3" s="6">
        <v>46291.0</v>
      </c>
      <c r="C3" s="2" t="s">
        <v>275</v>
      </c>
      <c r="D3" s="2" t="s">
        <v>277</v>
      </c>
      <c r="E3" s="2" t="s">
        <v>291</v>
      </c>
      <c r="F3" s="3">
        <v>3.0</v>
      </c>
      <c r="G3" s="2" t="s">
        <v>238</v>
      </c>
      <c r="H3" s="3">
        <v>0.0</v>
      </c>
      <c r="J3" s="2" t="s">
        <v>29</v>
      </c>
      <c r="K3" s="2" t="s">
        <v>287</v>
      </c>
      <c r="L3" s="2" t="s">
        <v>113</v>
      </c>
      <c r="N3" s="2" t="s">
        <v>289</v>
      </c>
    </row>
    <row r="4">
      <c r="A4" s="2" t="s">
        <v>292</v>
      </c>
      <c r="B4" s="6">
        <v>46291.0</v>
      </c>
      <c r="C4" s="2" t="s">
        <v>275</v>
      </c>
      <c r="D4" s="2" t="s">
        <v>277</v>
      </c>
      <c r="E4" s="2" t="s">
        <v>293</v>
      </c>
      <c r="F4" s="3">
        <v>25.0</v>
      </c>
      <c r="G4" s="2" t="s">
        <v>238</v>
      </c>
      <c r="H4" s="3">
        <v>0.0</v>
      </c>
      <c r="J4" s="2" t="s">
        <v>29</v>
      </c>
      <c r="K4" s="2" t="s">
        <v>287</v>
      </c>
      <c r="L4" s="2" t="s">
        <v>294</v>
      </c>
      <c r="N4" s="2" t="s">
        <v>295</v>
      </c>
    </row>
    <row r="5">
      <c r="A5" s="2" t="s">
        <v>296</v>
      </c>
      <c r="B5" s="6">
        <v>46297.0</v>
      </c>
      <c r="C5" s="2" t="s">
        <v>297</v>
      </c>
      <c r="D5" s="2" t="s">
        <v>298</v>
      </c>
      <c r="F5" s="3">
        <v>0.0</v>
      </c>
      <c r="G5" s="2" t="s">
        <v>238</v>
      </c>
      <c r="H5" s="3">
        <v>250000.0</v>
      </c>
      <c r="J5" s="2" t="s">
        <v>46</v>
      </c>
      <c r="K5" s="2" t="s">
        <v>299</v>
      </c>
      <c r="L5" s="2" t="s">
        <v>68</v>
      </c>
      <c r="M5" s="2" t="s">
        <v>66</v>
      </c>
      <c r="O5" s="3">
        <v>250000.0</v>
      </c>
    </row>
    <row r="6">
      <c r="A6" s="2" t="s">
        <v>300</v>
      </c>
      <c r="B6" s="6">
        <v>46297.0</v>
      </c>
      <c r="C6" s="2" t="s">
        <v>297</v>
      </c>
      <c r="D6" s="2" t="s">
        <v>298</v>
      </c>
      <c r="F6" s="3">
        <v>0.0</v>
      </c>
      <c r="G6" s="2" t="s">
        <v>238</v>
      </c>
      <c r="H6" s="3">
        <v>250000.0</v>
      </c>
      <c r="J6" s="2" t="s">
        <v>46</v>
      </c>
      <c r="K6" s="2" t="s">
        <v>299</v>
      </c>
      <c r="L6" s="2" t="s">
        <v>75</v>
      </c>
      <c r="M6" s="2" t="s">
        <v>74</v>
      </c>
      <c r="O6" s="3">
        <v>250000.0</v>
      </c>
    </row>
    <row r="7">
      <c r="A7" s="2" t="s">
        <v>301</v>
      </c>
      <c r="B7" s="6">
        <v>46297.0</v>
      </c>
      <c r="C7" s="2" t="s">
        <v>297</v>
      </c>
      <c r="D7" s="2" t="s">
        <v>298</v>
      </c>
      <c r="F7" s="3">
        <v>0.0</v>
      </c>
      <c r="G7" s="2" t="s">
        <v>238</v>
      </c>
      <c r="H7" s="3">
        <v>0.0</v>
      </c>
      <c r="J7" s="2" t="s">
        <v>46</v>
      </c>
      <c r="K7" s="2" t="s">
        <v>299</v>
      </c>
      <c r="L7" s="2" t="s">
        <v>78</v>
      </c>
      <c r="M7" s="2" t="s">
        <v>77</v>
      </c>
      <c r="O7" s="3">
        <v>250000.0</v>
      </c>
    </row>
    <row r="8">
      <c r="A8" s="2" t="s">
        <v>302</v>
      </c>
      <c r="B8" s="6">
        <v>46302.0</v>
      </c>
      <c r="C8" s="2" t="s">
        <v>297</v>
      </c>
      <c r="D8" s="2" t="s">
        <v>298</v>
      </c>
      <c r="F8" s="3">
        <v>0.0</v>
      </c>
      <c r="G8" s="2" t="s">
        <v>238</v>
      </c>
      <c r="H8" s="3">
        <v>250000.0</v>
      </c>
      <c r="J8" s="2" t="s">
        <v>46</v>
      </c>
      <c r="K8" s="2" t="s">
        <v>299</v>
      </c>
      <c r="L8" s="2" t="s">
        <v>81</v>
      </c>
      <c r="M8" s="2" t="s">
        <v>80</v>
      </c>
      <c r="O8" s="3">
        <v>250000.0</v>
      </c>
    </row>
    <row r="9">
      <c r="A9" s="2" t="s">
        <v>303</v>
      </c>
      <c r="B9" s="6">
        <v>46297.0</v>
      </c>
      <c r="C9" s="2" t="s">
        <v>297</v>
      </c>
      <c r="D9" s="2" t="s">
        <v>298</v>
      </c>
      <c r="F9" s="3">
        <v>0.0</v>
      </c>
      <c r="G9" s="2" t="s">
        <v>238</v>
      </c>
      <c r="H9" s="3">
        <v>250000.0</v>
      </c>
      <c r="J9" s="2" t="s">
        <v>46</v>
      </c>
      <c r="K9" s="2" t="s">
        <v>299</v>
      </c>
      <c r="L9" s="2" t="s">
        <v>83</v>
      </c>
      <c r="M9" s="2" t="s">
        <v>82</v>
      </c>
      <c r="O9" s="3">
        <v>250000.0</v>
      </c>
    </row>
    <row r="10">
      <c r="A10" s="2" t="s">
        <v>309</v>
      </c>
      <c r="B10" s="6">
        <v>46300.0</v>
      </c>
      <c r="C10" s="2" t="s">
        <v>297</v>
      </c>
      <c r="D10" s="2" t="s">
        <v>298</v>
      </c>
      <c r="F10" s="3">
        <v>0.0</v>
      </c>
      <c r="G10" s="2" t="s">
        <v>238</v>
      </c>
      <c r="H10" s="3">
        <v>250000.0</v>
      </c>
      <c r="J10" s="2" t="s">
        <v>46</v>
      </c>
      <c r="K10" s="2" t="s">
        <v>299</v>
      </c>
      <c r="L10" s="2" t="s">
        <v>86</v>
      </c>
      <c r="M10" s="2" t="s">
        <v>85</v>
      </c>
      <c r="O10" s="3">
        <v>250000.0</v>
      </c>
    </row>
    <row r="11">
      <c r="A11" s="2" t="s">
        <v>314</v>
      </c>
      <c r="B11" s="6">
        <v>46297.0</v>
      </c>
      <c r="C11" s="2" t="s">
        <v>297</v>
      </c>
      <c r="D11" s="2" t="s">
        <v>298</v>
      </c>
      <c r="F11" s="3">
        <v>0.0</v>
      </c>
      <c r="G11" s="2" t="s">
        <v>238</v>
      </c>
      <c r="H11" s="3">
        <v>250000.0</v>
      </c>
      <c r="J11" s="2" t="s">
        <v>46</v>
      </c>
      <c r="K11" s="2" t="s">
        <v>299</v>
      </c>
      <c r="L11" s="2" t="s">
        <v>89</v>
      </c>
      <c r="M11" s="2" t="s">
        <v>88</v>
      </c>
      <c r="O11" s="3">
        <v>250000.0</v>
      </c>
    </row>
    <row r="12">
      <c r="A12" s="2" t="s">
        <v>320</v>
      </c>
      <c r="B12" s="6">
        <v>46299.0</v>
      </c>
      <c r="C12" s="2" t="s">
        <v>297</v>
      </c>
      <c r="D12" s="2" t="s">
        <v>298</v>
      </c>
      <c r="F12" s="3">
        <v>0.0</v>
      </c>
      <c r="G12" s="2" t="s">
        <v>238</v>
      </c>
      <c r="H12" s="3">
        <v>250000.0</v>
      </c>
      <c r="J12" s="2" t="s">
        <v>46</v>
      </c>
      <c r="K12" s="2" t="s">
        <v>299</v>
      </c>
      <c r="L12" s="2" t="s">
        <v>91</v>
      </c>
      <c r="M12" s="2" t="s">
        <v>90</v>
      </c>
      <c r="O12" s="3">
        <v>250000.0</v>
      </c>
    </row>
    <row r="13">
      <c r="A13" s="2" t="s">
        <v>321</v>
      </c>
      <c r="B13" s="6">
        <v>46297.0</v>
      </c>
      <c r="C13" s="2" t="s">
        <v>297</v>
      </c>
      <c r="D13" s="2" t="s">
        <v>298</v>
      </c>
      <c r="F13" s="3">
        <v>0.0</v>
      </c>
      <c r="G13" s="2" t="s">
        <v>238</v>
      </c>
      <c r="H13" s="3">
        <v>0.0</v>
      </c>
      <c r="J13" s="2" t="s">
        <v>46</v>
      </c>
      <c r="K13" s="2" t="s">
        <v>299</v>
      </c>
      <c r="L13" s="2" t="s">
        <v>94</v>
      </c>
      <c r="M13" s="2" t="s">
        <v>93</v>
      </c>
      <c r="O13" s="3">
        <v>250000.0</v>
      </c>
    </row>
    <row r="14">
      <c r="A14" s="2" t="s">
        <v>325</v>
      </c>
      <c r="B14" s="6">
        <v>46297.0</v>
      </c>
      <c r="C14" s="2" t="s">
        <v>297</v>
      </c>
      <c r="D14" s="2" t="s">
        <v>298</v>
      </c>
      <c r="F14" s="3">
        <v>0.0</v>
      </c>
      <c r="G14" s="2" t="s">
        <v>238</v>
      </c>
      <c r="H14" s="3">
        <v>0.0</v>
      </c>
      <c r="J14" s="2" t="s">
        <v>46</v>
      </c>
      <c r="K14" s="2" t="s">
        <v>299</v>
      </c>
      <c r="L14" s="2" t="s">
        <v>98</v>
      </c>
      <c r="M14" s="2" t="s">
        <v>97</v>
      </c>
      <c r="O14" s="3">
        <v>250000.0</v>
      </c>
    </row>
    <row r="15">
      <c r="A15" s="2" t="s">
        <v>334</v>
      </c>
      <c r="B15" s="6">
        <v>46302.0</v>
      </c>
      <c r="C15" s="2" t="s">
        <v>297</v>
      </c>
      <c r="D15" s="2" t="s">
        <v>298</v>
      </c>
      <c r="F15" s="3">
        <v>0.0</v>
      </c>
      <c r="G15" s="2" t="s">
        <v>238</v>
      </c>
      <c r="H15" s="3">
        <v>250000.0</v>
      </c>
      <c r="J15" s="2" t="s">
        <v>46</v>
      </c>
      <c r="K15" s="2" t="s">
        <v>299</v>
      </c>
      <c r="L15" s="2" t="s">
        <v>100</v>
      </c>
      <c r="M15" s="2" t="s">
        <v>99</v>
      </c>
      <c r="O15" s="3">
        <v>250000.0</v>
      </c>
    </row>
    <row r="16">
      <c r="A16" s="2" t="s">
        <v>343</v>
      </c>
      <c r="B16" s="6">
        <v>46297.0</v>
      </c>
      <c r="C16" s="2" t="s">
        <v>297</v>
      </c>
      <c r="D16" s="2" t="s">
        <v>298</v>
      </c>
      <c r="F16" s="3">
        <v>0.0</v>
      </c>
      <c r="G16" s="2" t="s">
        <v>238</v>
      </c>
      <c r="H16" s="3">
        <v>0.0</v>
      </c>
      <c r="J16" s="2" t="s">
        <v>46</v>
      </c>
      <c r="K16" s="2" t="s">
        <v>299</v>
      </c>
      <c r="L16" s="2" t="s">
        <v>103</v>
      </c>
      <c r="M16" s="2" t="s">
        <v>102</v>
      </c>
      <c r="O16" s="3">
        <v>250000.0</v>
      </c>
    </row>
    <row r="17">
      <c r="A17" s="2" t="s">
        <v>344</v>
      </c>
      <c r="B17" s="6">
        <v>46302.0</v>
      </c>
      <c r="C17" s="2" t="s">
        <v>297</v>
      </c>
      <c r="D17" s="2" t="s">
        <v>298</v>
      </c>
      <c r="F17" s="3">
        <v>0.0</v>
      </c>
      <c r="G17" s="2" t="s">
        <v>238</v>
      </c>
      <c r="H17" s="3">
        <v>250000.0</v>
      </c>
      <c r="J17" s="2" t="s">
        <v>46</v>
      </c>
      <c r="K17" s="2" t="s">
        <v>299</v>
      </c>
      <c r="L17" s="2" t="s">
        <v>106</v>
      </c>
      <c r="M17" s="2" t="s">
        <v>105</v>
      </c>
      <c r="O17" s="3">
        <v>250000.0</v>
      </c>
    </row>
    <row r="18">
      <c r="A18" s="2" t="s">
        <v>345</v>
      </c>
      <c r="B18" s="6">
        <v>46298.0</v>
      </c>
      <c r="C18" s="2" t="s">
        <v>297</v>
      </c>
      <c r="D18" s="2" t="s">
        <v>298</v>
      </c>
      <c r="F18" s="3">
        <v>0.0</v>
      </c>
      <c r="G18" s="2" t="s">
        <v>238</v>
      </c>
      <c r="H18" s="3">
        <v>250000.0</v>
      </c>
      <c r="J18" s="2" t="s">
        <v>46</v>
      </c>
      <c r="K18" s="2" t="s">
        <v>299</v>
      </c>
      <c r="L18" s="2" t="s">
        <v>111</v>
      </c>
      <c r="M18" s="2" t="s">
        <v>108</v>
      </c>
      <c r="O18" s="3">
        <v>250000.0</v>
      </c>
    </row>
    <row r="19">
      <c r="A19" s="2" t="s">
        <v>346</v>
      </c>
      <c r="B19" s="6">
        <v>46297.0</v>
      </c>
      <c r="C19" s="2" t="s">
        <v>297</v>
      </c>
      <c r="D19" s="2" t="s">
        <v>298</v>
      </c>
      <c r="F19" s="3">
        <v>0.0</v>
      </c>
      <c r="G19" s="2" t="s">
        <v>238</v>
      </c>
      <c r="H19" s="3">
        <v>250000.0</v>
      </c>
      <c r="J19" s="2" t="s">
        <v>46</v>
      </c>
      <c r="K19" s="2" t="s">
        <v>299</v>
      </c>
      <c r="L19" s="2" t="s">
        <v>113</v>
      </c>
      <c r="M19" s="2" t="s">
        <v>112</v>
      </c>
      <c r="O19" s="3">
        <v>250000.0</v>
      </c>
    </row>
    <row r="20">
      <c r="A20" s="2" t="s">
        <v>347</v>
      </c>
      <c r="B20" s="6">
        <v>46297.0</v>
      </c>
      <c r="C20" s="2" t="s">
        <v>297</v>
      </c>
      <c r="D20" s="2" t="s">
        <v>298</v>
      </c>
      <c r="F20" s="3">
        <v>0.0</v>
      </c>
      <c r="G20" s="2" t="s">
        <v>238</v>
      </c>
      <c r="H20" s="3">
        <v>0.0</v>
      </c>
      <c r="J20" s="2" t="s">
        <v>46</v>
      </c>
      <c r="K20" s="2" t="s">
        <v>299</v>
      </c>
      <c r="L20" s="2" t="s">
        <v>37</v>
      </c>
      <c r="M20" s="2" t="s">
        <v>114</v>
      </c>
      <c r="O20" s="3">
        <v>250000.0</v>
      </c>
    </row>
    <row r="21">
      <c r="A21" s="2" t="s">
        <v>350</v>
      </c>
      <c r="B21" s="6">
        <v>46297.0</v>
      </c>
      <c r="C21" s="2" t="s">
        <v>297</v>
      </c>
      <c r="D21" s="2" t="s">
        <v>298</v>
      </c>
      <c r="F21" s="3">
        <v>0.0</v>
      </c>
      <c r="G21" s="2" t="s">
        <v>238</v>
      </c>
      <c r="H21" s="3">
        <v>0.0</v>
      </c>
      <c r="J21" s="2" t="s">
        <v>46</v>
      </c>
      <c r="K21" s="2" t="s">
        <v>299</v>
      </c>
      <c r="L21" s="2" t="s">
        <v>116</v>
      </c>
      <c r="M21" s="2" t="s">
        <v>115</v>
      </c>
      <c r="O21" s="3">
        <v>250000.0</v>
      </c>
    </row>
    <row r="22">
      <c r="A22" s="2" t="s">
        <v>355</v>
      </c>
      <c r="B22" s="6">
        <v>46297.0</v>
      </c>
      <c r="C22" s="2" t="s">
        <v>297</v>
      </c>
      <c r="D22" s="2" t="s">
        <v>298</v>
      </c>
      <c r="F22" s="3">
        <v>0.0</v>
      </c>
      <c r="G22" s="2" t="s">
        <v>238</v>
      </c>
      <c r="H22" s="3">
        <v>0.0</v>
      </c>
      <c r="J22" s="2" t="s">
        <v>46</v>
      </c>
      <c r="K22" s="2" t="s">
        <v>299</v>
      </c>
      <c r="L22" s="2" t="s">
        <v>118</v>
      </c>
      <c r="M22" s="2" t="s">
        <v>117</v>
      </c>
      <c r="O22" s="3">
        <v>250000.0</v>
      </c>
    </row>
    <row r="23">
      <c r="A23" s="2" t="s">
        <v>356</v>
      </c>
      <c r="B23" s="6">
        <v>46303.0</v>
      </c>
      <c r="C23" s="2" t="s">
        <v>297</v>
      </c>
      <c r="D23" s="2" t="s">
        <v>298</v>
      </c>
      <c r="F23" s="3">
        <v>0.0</v>
      </c>
      <c r="G23" s="2" t="s">
        <v>238</v>
      </c>
      <c r="H23" s="3">
        <v>250000.0</v>
      </c>
      <c r="J23" s="2" t="s">
        <v>46</v>
      </c>
      <c r="K23" s="2" t="s">
        <v>299</v>
      </c>
      <c r="L23" s="2" t="s">
        <v>28</v>
      </c>
      <c r="M23" s="2" t="s">
        <v>120</v>
      </c>
      <c r="O23" s="3">
        <v>250000.0</v>
      </c>
    </row>
    <row r="24">
      <c r="A24" s="2" t="s">
        <v>357</v>
      </c>
      <c r="B24" s="6">
        <v>46297.0</v>
      </c>
      <c r="C24" s="2" t="s">
        <v>297</v>
      </c>
      <c r="D24" s="2" t="s">
        <v>298</v>
      </c>
      <c r="F24" s="3">
        <v>0.0</v>
      </c>
      <c r="G24" s="2" t="s">
        <v>238</v>
      </c>
      <c r="H24" s="3">
        <v>0.0</v>
      </c>
      <c r="J24" s="2" t="s">
        <v>46</v>
      </c>
      <c r="K24" s="2" t="s">
        <v>299</v>
      </c>
      <c r="L24" s="2" t="s">
        <v>124</v>
      </c>
      <c r="M24" s="2" t="s">
        <v>123</v>
      </c>
      <c r="O24" s="3">
        <v>250000.0</v>
      </c>
    </row>
    <row r="25">
      <c r="A25" s="2" t="s">
        <v>362</v>
      </c>
      <c r="B25" s="6">
        <v>46300.0</v>
      </c>
      <c r="C25" s="2" t="s">
        <v>297</v>
      </c>
      <c r="D25" s="2" t="s">
        <v>298</v>
      </c>
      <c r="F25" s="3">
        <v>0.0</v>
      </c>
      <c r="G25" s="2" t="s">
        <v>238</v>
      </c>
      <c r="H25" s="3">
        <v>250000.0</v>
      </c>
      <c r="J25" s="2" t="s">
        <v>46</v>
      </c>
      <c r="K25" s="2" t="s">
        <v>299</v>
      </c>
      <c r="L25" s="2" t="s">
        <v>132</v>
      </c>
      <c r="M25" s="2" t="s">
        <v>129</v>
      </c>
      <c r="O25" s="3">
        <v>250000.0</v>
      </c>
    </row>
    <row r="26">
      <c r="A26" s="2" t="s">
        <v>364</v>
      </c>
      <c r="B26" s="6">
        <v>46300.0</v>
      </c>
      <c r="C26" s="2" t="s">
        <v>297</v>
      </c>
      <c r="D26" s="2" t="s">
        <v>298</v>
      </c>
      <c r="F26" s="3">
        <v>0.0</v>
      </c>
      <c r="G26" s="2" t="s">
        <v>238</v>
      </c>
      <c r="H26" s="3">
        <v>250000.0</v>
      </c>
      <c r="J26" s="2" t="s">
        <v>46</v>
      </c>
      <c r="K26" s="2" t="s">
        <v>299</v>
      </c>
      <c r="L26" s="2" t="s">
        <v>134</v>
      </c>
      <c r="M26" s="2" t="s">
        <v>133</v>
      </c>
      <c r="O26" s="3">
        <v>250000.0</v>
      </c>
    </row>
    <row r="27">
      <c r="A27" s="2" t="s">
        <v>365</v>
      </c>
      <c r="B27" s="6">
        <v>46302.0</v>
      </c>
      <c r="C27" s="2" t="s">
        <v>297</v>
      </c>
      <c r="D27" s="2" t="s">
        <v>298</v>
      </c>
      <c r="F27" s="3">
        <v>0.0</v>
      </c>
      <c r="G27" s="2" t="s">
        <v>238</v>
      </c>
      <c r="H27" s="3">
        <v>250000.0</v>
      </c>
      <c r="J27" s="2" t="s">
        <v>46</v>
      </c>
      <c r="K27" s="2" t="s">
        <v>299</v>
      </c>
      <c r="L27" s="2" t="s">
        <v>136</v>
      </c>
      <c r="M27" s="2" t="s">
        <v>135</v>
      </c>
      <c r="O27" s="3">
        <v>250000.0</v>
      </c>
    </row>
    <row r="28">
      <c r="A28" s="2" t="s">
        <v>366</v>
      </c>
      <c r="B28" s="6">
        <v>46297.0</v>
      </c>
      <c r="C28" s="2" t="s">
        <v>297</v>
      </c>
      <c r="D28" s="2" t="s">
        <v>298</v>
      </c>
      <c r="F28" s="3">
        <v>0.0</v>
      </c>
      <c r="G28" s="2" t="s">
        <v>238</v>
      </c>
      <c r="H28" s="3">
        <v>0.0</v>
      </c>
      <c r="J28" s="2" t="s">
        <v>46</v>
      </c>
      <c r="K28" s="2" t="s">
        <v>299</v>
      </c>
      <c r="L28" s="2" t="s">
        <v>138</v>
      </c>
      <c r="M28" s="2" t="s">
        <v>137</v>
      </c>
      <c r="O28" s="3">
        <v>250000.0</v>
      </c>
    </row>
    <row r="29">
      <c r="A29" s="2" t="s">
        <v>368</v>
      </c>
      <c r="B29" s="6">
        <v>46297.0</v>
      </c>
      <c r="C29" s="2" t="s">
        <v>297</v>
      </c>
      <c r="D29" s="2" t="s">
        <v>298</v>
      </c>
      <c r="F29" s="3">
        <v>0.0</v>
      </c>
      <c r="G29" s="2" t="s">
        <v>238</v>
      </c>
      <c r="H29" s="3">
        <v>0.0</v>
      </c>
      <c r="J29" s="2" t="s">
        <v>46</v>
      </c>
      <c r="K29" s="2" t="s">
        <v>299</v>
      </c>
      <c r="L29" s="2" t="s">
        <v>141</v>
      </c>
      <c r="M29" s="2" t="s">
        <v>140</v>
      </c>
      <c r="O29" s="3">
        <v>250000.0</v>
      </c>
    </row>
    <row r="30">
      <c r="A30" s="2" t="s">
        <v>369</v>
      </c>
      <c r="B30" s="6">
        <v>46299.0</v>
      </c>
      <c r="C30" s="2" t="s">
        <v>297</v>
      </c>
      <c r="D30" s="2" t="s">
        <v>298</v>
      </c>
      <c r="F30" s="3">
        <v>0.0</v>
      </c>
      <c r="G30" s="2" t="s">
        <v>238</v>
      </c>
      <c r="H30" s="3">
        <v>250000.0</v>
      </c>
      <c r="J30" s="2" t="s">
        <v>46</v>
      </c>
      <c r="K30" s="2" t="s">
        <v>299</v>
      </c>
      <c r="L30" s="2" t="s">
        <v>143</v>
      </c>
      <c r="M30" s="2" t="s">
        <v>142</v>
      </c>
      <c r="O30" s="3">
        <v>250000.0</v>
      </c>
    </row>
    <row r="31">
      <c r="A31" s="2" t="s">
        <v>370</v>
      </c>
      <c r="B31" s="6">
        <v>46297.0</v>
      </c>
      <c r="C31" s="2" t="s">
        <v>297</v>
      </c>
      <c r="D31" s="2" t="s">
        <v>298</v>
      </c>
      <c r="F31" s="3">
        <v>0.0</v>
      </c>
      <c r="G31" s="2" t="s">
        <v>238</v>
      </c>
      <c r="H31" s="3">
        <v>250000.0</v>
      </c>
      <c r="J31" s="2" t="s">
        <v>46</v>
      </c>
      <c r="K31" s="2" t="s">
        <v>299</v>
      </c>
      <c r="L31" s="2" t="s">
        <v>146</v>
      </c>
      <c r="M31" s="2" t="s">
        <v>144</v>
      </c>
      <c r="O31" s="3">
        <v>250000.0</v>
      </c>
    </row>
    <row r="32">
      <c r="A32" s="2" t="s">
        <v>371</v>
      </c>
      <c r="B32" s="6">
        <v>46297.0</v>
      </c>
      <c r="C32" s="2" t="s">
        <v>297</v>
      </c>
      <c r="D32" s="2" t="s">
        <v>298</v>
      </c>
      <c r="F32" s="3">
        <v>0.0</v>
      </c>
      <c r="G32" s="2" t="s">
        <v>238</v>
      </c>
      <c r="H32" s="3">
        <v>250000.0</v>
      </c>
      <c r="J32" s="2" t="s">
        <v>46</v>
      </c>
      <c r="K32" s="2" t="s">
        <v>299</v>
      </c>
      <c r="L32" s="2" t="s">
        <v>148</v>
      </c>
      <c r="M32" s="2" t="s">
        <v>147</v>
      </c>
      <c r="O32" s="3">
        <v>250000.0</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1</v>
      </c>
      <c r="B1" s="1" t="s">
        <v>272</v>
      </c>
      <c r="C1" s="1" t="s">
        <v>15</v>
      </c>
      <c r="D1" s="1" t="s">
        <v>245</v>
      </c>
      <c r="E1" s="1" t="s">
        <v>274</v>
      </c>
      <c r="F1" s="1" t="s">
        <v>276</v>
      </c>
      <c r="G1" s="1" t="s">
        <v>278</v>
      </c>
      <c r="H1" s="1" t="s">
        <v>65</v>
      </c>
      <c r="I1" s="1" t="s">
        <v>12</v>
      </c>
      <c r="J1" s="1" t="s">
        <v>13</v>
      </c>
      <c r="K1" s="1" t="s">
        <v>18</v>
      </c>
      <c r="L1" s="1" t="s">
        <v>279</v>
      </c>
      <c r="M1" s="2" t="s">
        <v>280</v>
      </c>
      <c r="N1" s="2" t="s">
        <v>281</v>
      </c>
    </row>
    <row r="2">
      <c r="A2" s="2" t="s">
        <v>283</v>
      </c>
      <c r="B2" s="2" t="s">
        <v>284</v>
      </c>
      <c r="C2" s="2" t="s">
        <v>285</v>
      </c>
      <c r="D2" s="3">
        <v>2.0</v>
      </c>
      <c r="E2" s="2" t="s">
        <v>286</v>
      </c>
      <c r="F2" s="3">
        <v>100000.0</v>
      </c>
      <c r="G2" s="10" t="s">
        <v>288</v>
      </c>
      <c r="I2" s="2" t="s">
        <v>54</v>
      </c>
      <c r="J2" s="2" t="s">
        <v>304</v>
      </c>
      <c r="K2" s="2" t="s">
        <v>305</v>
      </c>
      <c r="L2" s="3">
        <v>4400000.0</v>
      </c>
      <c r="M2" s="3">
        <v>50000.0</v>
      </c>
      <c r="N2" s="3">
        <v>100000.0</v>
      </c>
    </row>
    <row r="3">
      <c r="A3" s="2" t="s">
        <v>306</v>
      </c>
      <c r="B3" s="2" t="s">
        <v>307</v>
      </c>
      <c r="C3" s="2" t="s">
        <v>308</v>
      </c>
      <c r="D3" s="3">
        <v>4.0</v>
      </c>
      <c r="E3" s="2" t="s">
        <v>286</v>
      </c>
      <c r="I3" s="2" t="s">
        <v>29</v>
      </c>
      <c r="J3" s="2" t="s">
        <v>310</v>
      </c>
      <c r="L3" s="3">
        <v>0.0</v>
      </c>
      <c r="M3" s="3">
        <v>5000.0</v>
      </c>
      <c r="N3" s="3">
        <v>10000.0</v>
      </c>
    </row>
    <row r="4">
      <c r="A4" s="2" t="s">
        <v>311</v>
      </c>
      <c r="B4" s="2" t="s">
        <v>312</v>
      </c>
      <c r="C4" s="2" t="s">
        <v>313</v>
      </c>
      <c r="D4" s="3">
        <v>2.0</v>
      </c>
      <c r="E4" s="2" t="s">
        <v>286</v>
      </c>
      <c r="I4" s="2" t="s">
        <v>54</v>
      </c>
      <c r="J4" s="2" t="s">
        <v>315</v>
      </c>
      <c r="L4" s="3">
        <v>0.0</v>
      </c>
      <c r="M4" s="3">
        <v>10000.0</v>
      </c>
      <c r="N4" s="3">
        <v>25000.0</v>
      </c>
    </row>
    <row r="5">
      <c r="A5" s="2" t="s">
        <v>316</v>
      </c>
      <c r="B5" s="2" t="s">
        <v>317</v>
      </c>
      <c r="C5" s="2" t="s">
        <v>318</v>
      </c>
      <c r="D5" s="3">
        <v>1.0</v>
      </c>
      <c r="E5" s="2" t="s">
        <v>286</v>
      </c>
      <c r="G5" s="10" t="s">
        <v>319</v>
      </c>
      <c r="I5" s="2" t="s">
        <v>54</v>
      </c>
      <c r="J5" s="2" t="s">
        <v>327</v>
      </c>
      <c r="K5" s="2" t="s">
        <v>328</v>
      </c>
      <c r="L5" s="3">
        <v>2000000.0</v>
      </c>
      <c r="M5" s="3">
        <v>20000.0</v>
      </c>
      <c r="N5" s="3">
        <v>50000.0</v>
      </c>
    </row>
    <row r="6">
      <c r="A6" s="2" t="s">
        <v>329</v>
      </c>
      <c r="B6" s="2" t="s">
        <v>331</v>
      </c>
      <c r="C6" s="2" t="s">
        <v>332</v>
      </c>
      <c r="D6" s="3">
        <v>1.0</v>
      </c>
      <c r="E6" s="2" t="s">
        <v>286</v>
      </c>
      <c r="I6" s="2" t="s">
        <v>54</v>
      </c>
      <c r="J6" s="2" t="s">
        <v>337</v>
      </c>
      <c r="L6" s="3">
        <v>0.0</v>
      </c>
      <c r="M6" s="3">
        <v>10000.0</v>
      </c>
      <c r="N6" s="3">
        <v>15000.0</v>
      </c>
    </row>
    <row r="7">
      <c r="A7" s="2" t="s">
        <v>339</v>
      </c>
      <c r="B7" s="2" t="s">
        <v>340</v>
      </c>
      <c r="C7" s="2" t="s">
        <v>341</v>
      </c>
      <c r="D7" s="3">
        <v>2.0</v>
      </c>
      <c r="E7" s="2" t="s">
        <v>286</v>
      </c>
      <c r="I7" s="2" t="s">
        <v>54</v>
      </c>
      <c r="J7" s="2" t="s">
        <v>342</v>
      </c>
      <c r="L7" s="3">
        <v>0.0</v>
      </c>
      <c r="M7" s="3">
        <v>30000.0</v>
      </c>
      <c r="N7" s="3">
        <v>0.0</v>
      </c>
    </row>
  </sheetData>
  <hyperlinks>
    <hyperlink r:id="rId1" ref="G2"/>
    <hyperlink r:id="rId2" ref="G5"/>
  </hyperlinks>
  <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1</v>
      </c>
      <c r="B1" s="1" t="s">
        <v>7</v>
      </c>
      <c r="C1" s="1" t="s">
        <v>16</v>
      </c>
      <c r="D1" s="1" t="s">
        <v>322</v>
      </c>
      <c r="E1" s="1" t="s">
        <v>278</v>
      </c>
      <c r="F1" s="1" t="s">
        <v>323</v>
      </c>
      <c r="G1" s="1" t="s">
        <v>324</v>
      </c>
      <c r="H1" s="1" t="s">
        <v>326</v>
      </c>
      <c r="I1" s="1" t="s">
        <v>12</v>
      </c>
      <c r="J1" s="1" t="s">
        <v>13</v>
      </c>
    </row>
    <row r="2">
      <c r="A2" s="2" t="s">
        <v>330</v>
      </c>
      <c r="B2" s="2" t="s">
        <v>333</v>
      </c>
      <c r="C2" s="2" t="s">
        <v>335</v>
      </c>
      <c r="D2" s="2" t="s">
        <v>336</v>
      </c>
      <c r="E2" s="10" t="s">
        <v>338</v>
      </c>
      <c r="G2" s="6">
        <v>46309.0</v>
      </c>
      <c r="H2" s="2" t="s">
        <v>348</v>
      </c>
      <c r="I2" s="2" t="s">
        <v>29</v>
      </c>
      <c r="J2" s="2" t="s">
        <v>349</v>
      </c>
    </row>
    <row r="3">
      <c r="A3" s="2" t="s">
        <v>351</v>
      </c>
      <c r="B3" s="2" t="s">
        <v>352</v>
      </c>
      <c r="C3" s="2" t="s">
        <v>353</v>
      </c>
      <c r="D3" s="2" t="s">
        <v>336</v>
      </c>
      <c r="E3" s="10" t="s">
        <v>354</v>
      </c>
      <c r="G3" s="6">
        <v>46309.0</v>
      </c>
      <c r="H3" s="2" t="s">
        <v>348</v>
      </c>
      <c r="I3" s="2" t="s">
        <v>29</v>
      </c>
      <c r="J3" s="2" t="s">
        <v>358</v>
      </c>
    </row>
    <row r="4">
      <c r="A4" s="2" t="s">
        <v>359</v>
      </c>
      <c r="B4" s="2" t="s">
        <v>360</v>
      </c>
      <c r="C4" s="2" t="s">
        <v>361</v>
      </c>
      <c r="D4" s="2" t="s">
        <v>336</v>
      </c>
      <c r="E4" s="10" t="s">
        <v>363</v>
      </c>
      <c r="G4" s="6">
        <v>46309.0</v>
      </c>
      <c r="H4" s="2" t="s">
        <v>348</v>
      </c>
      <c r="I4" s="2" t="s">
        <v>29</v>
      </c>
      <c r="J4" s="2" t="s">
        <v>367</v>
      </c>
    </row>
  </sheetData>
  <hyperlinks>
    <hyperlink r:id="rId1" ref="E2"/>
    <hyperlink r:id="rId2" ref="E3"/>
    <hyperlink r:id="rId3" ref="E4"/>
  </hyperlinks>
  <drawing r:id="rId4"/>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1</v>
      </c>
      <c r="B1" s="1" t="s">
        <v>6</v>
      </c>
      <c r="C1" s="1" t="s">
        <v>372</v>
      </c>
      <c r="D1" s="1" t="s">
        <v>272</v>
      </c>
      <c r="E1" s="1" t="s">
        <v>373</v>
      </c>
      <c r="F1" s="1" t="s">
        <v>245</v>
      </c>
      <c r="G1" s="1" t="s">
        <v>274</v>
      </c>
      <c r="H1" s="1" t="s">
        <v>65</v>
      </c>
      <c r="I1" s="1" t="s">
        <v>12</v>
      </c>
      <c r="J1" s="1" t="s">
        <v>13</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1</v>
      </c>
      <c r="B1" s="1" t="s">
        <v>6</v>
      </c>
      <c r="C1" s="1" t="s">
        <v>372</v>
      </c>
      <c r="D1" s="1" t="s">
        <v>272</v>
      </c>
      <c r="E1" s="1" t="s">
        <v>374</v>
      </c>
      <c r="F1" s="1" t="s">
        <v>375</v>
      </c>
      <c r="G1" s="1" t="s">
        <v>376</v>
      </c>
      <c r="H1" s="1" t="s">
        <v>245</v>
      </c>
      <c r="I1" s="1" t="s">
        <v>377</v>
      </c>
      <c r="J1" s="1" t="s">
        <v>378</v>
      </c>
      <c r="K1" s="1" t="s">
        <v>25</v>
      </c>
      <c r="L1" s="1" t="s">
        <v>65</v>
      </c>
      <c r="M1" s="1" t="s">
        <v>12</v>
      </c>
      <c r="N1" s="1" t="s">
        <v>13</v>
      </c>
      <c r="O1" s="2" t="s">
        <v>379</v>
      </c>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1</v>
      </c>
      <c r="B1" s="1" t="s">
        <v>6</v>
      </c>
      <c r="C1" s="1" t="s">
        <v>7</v>
      </c>
      <c r="D1" s="1" t="s">
        <v>380</v>
      </c>
      <c r="E1" s="1" t="s">
        <v>381</v>
      </c>
      <c r="F1" s="1" t="s">
        <v>382</v>
      </c>
      <c r="G1" s="1" t="s">
        <v>12</v>
      </c>
      <c r="H1" s="1" t="s">
        <v>13</v>
      </c>
    </row>
    <row r="2">
      <c r="A2" s="2" t="s">
        <v>383</v>
      </c>
      <c r="B2" s="6">
        <v>46291.0</v>
      </c>
      <c r="C2" s="2" t="s">
        <v>384</v>
      </c>
      <c r="E2" s="2" t="s">
        <v>385</v>
      </c>
      <c r="F2" s="2" t="s">
        <v>386</v>
      </c>
      <c r="G2" s="2" t="s">
        <v>54</v>
      </c>
      <c r="H2" s="2" t="s">
        <v>387</v>
      </c>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1</v>
      </c>
      <c r="B1" s="1" t="s">
        <v>176</v>
      </c>
      <c r="C1" s="1" t="s">
        <v>25</v>
      </c>
      <c r="D1" s="1" t="s">
        <v>388</v>
      </c>
      <c r="E1" s="1" t="s">
        <v>389</v>
      </c>
      <c r="F1" s="1" t="s">
        <v>65</v>
      </c>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7.88"/>
    <col customWidth="1" min="7" max="7" width="32.25"/>
    <col customWidth="1" min="8" max="8" width="80.5"/>
  </cols>
  <sheetData>
    <row r="1">
      <c r="A1" s="1" t="s">
        <v>1</v>
      </c>
      <c r="B1" s="1" t="s">
        <v>390</v>
      </c>
      <c r="C1" s="1" t="s">
        <v>391</v>
      </c>
      <c r="D1" s="1" t="s">
        <v>21</v>
      </c>
      <c r="E1" s="1" t="s">
        <v>392</v>
      </c>
      <c r="F1" s="1" t="s">
        <v>96</v>
      </c>
      <c r="G1" s="1" t="s">
        <v>393</v>
      </c>
      <c r="H1" s="1" t="s">
        <v>394</v>
      </c>
    </row>
    <row r="2">
      <c r="A2" s="2" t="s">
        <v>395</v>
      </c>
      <c r="B2" s="2" t="s">
        <v>396</v>
      </c>
      <c r="C2" s="2" t="s">
        <v>52</v>
      </c>
      <c r="D2" s="2" t="s">
        <v>54</v>
      </c>
      <c r="E2" s="2" t="s">
        <v>397</v>
      </c>
      <c r="F2" s="2" t="s">
        <v>398</v>
      </c>
      <c r="G2" s="2" t="s">
        <v>283</v>
      </c>
    </row>
    <row r="3">
      <c r="A3" s="2" t="s">
        <v>399</v>
      </c>
      <c r="B3" s="2" t="s">
        <v>400</v>
      </c>
      <c r="C3" s="2" t="s">
        <v>52</v>
      </c>
      <c r="D3" s="2" t="s">
        <v>54</v>
      </c>
      <c r="E3" s="2" t="s">
        <v>397</v>
      </c>
      <c r="F3" s="2" t="s">
        <v>401</v>
      </c>
      <c r="G3" s="2" t="s">
        <v>66</v>
      </c>
    </row>
    <row r="4">
      <c r="A4" s="2" t="s">
        <v>402</v>
      </c>
      <c r="B4" s="2" t="s">
        <v>403</v>
      </c>
      <c r="C4" s="2" t="s">
        <v>52</v>
      </c>
      <c r="D4" s="2" t="s">
        <v>54</v>
      </c>
      <c r="E4" s="2" t="s">
        <v>397</v>
      </c>
      <c r="F4" s="2" t="s">
        <v>401</v>
      </c>
      <c r="G4" s="2" t="s">
        <v>74</v>
      </c>
    </row>
    <row r="5">
      <c r="A5" s="2" t="s">
        <v>404</v>
      </c>
      <c r="B5" s="2" t="s">
        <v>405</v>
      </c>
      <c r="C5" s="2" t="s">
        <v>27</v>
      </c>
      <c r="D5" s="2" t="s">
        <v>29</v>
      </c>
      <c r="E5" s="2" t="s">
        <v>397</v>
      </c>
      <c r="F5" s="2" t="s">
        <v>406</v>
      </c>
      <c r="G5" s="2" t="s">
        <v>407</v>
      </c>
    </row>
    <row r="6">
      <c r="A6" s="2" t="s">
        <v>408</v>
      </c>
      <c r="B6" s="2" t="s">
        <v>409</v>
      </c>
      <c r="C6" s="2" t="s">
        <v>27</v>
      </c>
      <c r="D6" s="2" t="s">
        <v>29</v>
      </c>
      <c r="E6" s="2" t="s">
        <v>397</v>
      </c>
      <c r="F6" s="2" t="s">
        <v>401</v>
      </c>
      <c r="G6" s="2" t="s">
        <v>77</v>
      </c>
    </row>
    <row r="7">
      <c r="A7" s="2" t="s">
        <v>410</v>
      </c>
      <c r="B7" s="2" t="s">
        <v>411</v>
      </c>
      <c r="C7" s="2" t="s">
        <v>27</v>
      </c>
      <c r="D7" s="2" t="s">
        <v>29</v>
      </c>
      <c r="E7" s="2" t="s">
        <v>397</v>
      </c>
      <c r="F7" s="2" t="s">
        <v>401</v>
      </c>
      <c r="G7" s="2" t="s">
        <v>80</v>
      </c>
    </row>
    <row r="8">
      <c r="A8" s="2" t="s">
        <v>412</v>
      </c>
      <c r="B8" s="2" t="s">
        <v>413</v>
      </c>
      <c r="C8" s="2" t="s">
        <v>27</v>
      </c>
      <c r="D8" s="2" t="s">
        <v>29</v>
      </c>
      <c r="E8" s="2" t="s">
        <v>397</v>
      </c>
      <c r="F8" s="2" t="s">
        <v>401</v>
      </c>
      <c r="G8" s="2" t="s">
        <v>82</v>
      </c>
    </row>
    <row r="9">
      <c r="A9" s="2" t="s">
        <v>414</v>
      </c>
      <c r="B9" s="2" t="s">
        <v>415</v>
      </c>
      <c r="C9" s="2" t="s">
        <v>27</v>
      </c>
      <c r="D9" s="2" t="s">
        <v>29</v>
      </c>
      <c r="E9" s="2" t="s">
        <v>397</v>
      </c>
      <c r="F9" s="2" t="s">
        <v>401</v>
      </c>
      <c r="G9" s="2" t="s">
        <v>85</v>
      </c>
    </row>
    <row r="10">
      <c r="A10" s="2" t="s">
        <v>416</v>
      </c>
      <c r="B10" s="2" t="s">
        <v>417</v>
      </c>
      <c r="C10" s="2" t="s">
        <v>27</v>
      </c>
      <c r="D10" s="2" t="s">
        <v>29</v>
      </c>
      <c r="E10" s="2" t="s">
        <v>397</v>
      </c>
      <c r="F10" s="2" t="s">
        <v>401</v>
      </c>
      <c r="G10" s="2" t="s">
        <v>88</v>
      </c>
    </row>
    <row r="11">
      <c r="A11" s="2" t="s">
        <v>418</v>
      </c>
      <c r="B11" s="2" t="s">
        <v>419</v>
      </c>
      <c r="C11" s="2" t="s">
        <v>27</v>
      </c>
      <c r="D11" s="2" t="s">
        <v>29</v>
      </c>
      <c r="E11" s="2" t="s">
        <v>397</v>
      </c>
      <c r="F11" s="2" t="s">
        <v>401</v>
      </c>
      <c r="G11" s="2" t="s">
        <v>90</v>
      </c>
    </row>
    <row r="12">
      <c r="A12" s="2" t="s">
        <v>420</v>
      </c>
      <c r="B12" s="2" t="s">
        <v>421</v>
      </c>
      <c r="C12" s="2" t="s">
        <v>27</v>
      </c>
      <c r="D12" s="2" t="s">
        <v>29</v>
      </c>
      <c r="E12" s="2" t="s">
        <v>397</v>
      </c>
      <c r="F12" s="2" t="s">
        <v>401</v>
      </c>
      <c r="G12" s="2" t="s">
        <v>422</v>
      </c>
    </row>
    <row r="13">
      <c r="A13" s="2" t="s">
        <v>423</v>
      </c>
      <c r="B13" s="2" t="s">
        <v>424</v>
      </c>
      <c r="C13" s="2" t="s">
        <v>27</v>
      </c>
      <c r="D13" s="2" t="s">
        <v>29</v>
      </c>
      <c r="E13" s="2" t="s">
        <v>397</v>
      </c>
      <c r="F13" s="2" t="s">
        <v>401</v>
      </c>
      <c r="G13" s="2" t="s">
        <v>93</v>
      </c>
    </row>
    <row r="14">
      <c r="A14" s="2" t="s">
        <v>425</v>
      </c>
      <c r="B14" s="2" t="s">
        <v>426</v>
      </c>
      <c r="C14" s="2" t="s">
        <v>27</v>
      </c>
      <c r="D14" s="2" t="s">
        <v>29</v>
      </c>
      <c r="E14" s="2" t="s">
        <v>397</v>
      </c>
      <c r="F14" s="2" t="s">
        <v>401</v>
      </c>
      <c r="G14" s="2" t="s">
        <v>97</v>
      </c>
    </row>
    <row r="15">
      <c r="A15" s="2" t="s">
        <v>427</v>
      </c>
      <c r="B15" s="2" t="s">
        <v>428</v>
      </c>
      <c r="C15" s="2" t="s">
        <v>27</v>
      </c>
      <c r="D15" s="2" t="s">
        <v>29</v>
      </c>
      <c r="E15" s="2" t="s">
        <v>397</v>
      </c>
      <c r="F15" s="2" t="s">
        <v>401</v>
      </c>
      <c r="G15" s="2" t="s">
        <v>99</v>
      </c>
    </row>
    <row r="16">
      <c r="A16" s="2" t="s">
        <v>429</v>
      </c>
      <c r="B16" s="2" t="s">
        <v>430</v>
      </c>
      <c r="C16" s="2" t="s">
        <v>27</v>
      </c>
      <c r="D16" s="2" t="s">
        <v>29</v>
      </c>
      <c r="E16" s="2" t="s">
        <v>397</v>
      </c>
      <c r="F16" s="2" t="s">
        <v>401</v>
      </c>
      <c r="G16" s="2" t="s">
        <v>102</v>
      </c>
    </row>
    <row r="17">
      <c r="A17" s="2" t="s">
        <v>431</v>
      </c>
      <c r="B17" s="2" t="s">
        <v>432</v>
      </c>
      <c r="C17" s="2" t="s">
        <v>27</v>
      </c>
      <c r="D17" s="2" t="s">
        <v>29</v>
      </c>
      <c r="E17" s="2" t="s">
        <v>397</v>
      </c>
      <c r="F17" s="2" t="s">
        <v>401</v>
      </c>
      <c r="G17" s="2" t="s">
        <v>105</v>
      </c>
    </row>
    <row r="18">
      <c r="A18" s="2" t="s">
        <v>433</v>
      </c>
      <c r="B18" s="2" t="s">
        <v>434</v>
      </c>
      <c r="C18" s="2" t="s">
        <v>27</v>
      </c>
      <c r="D18" s="2" t="s">
        <v>29</v>
      </c>
      <c r="E18" s="2" t="s">
        <v>397</v>
      </c>
      <c r="F18" s="2" t="s">
        <v>401</v>
      </c>
      <c r="G18" s="2" t="s">
        <v>108</v>
      </c>
    </row>
    <row r="19">
      <c r="A19" s="2" t="s">
        <v>435</v>
      </c>
      <c r="B19" s="2" t="s">
        <v>436</v>
      </c>
      <c r="C19" s="2" t="s">
        <v>27</v>
      </c>
      <c r="D19" s="2" t="s">
        <v>29</v>
      </c>
      <c r="E19" s="2" t="s">
        <v>437</v>
      </c>
      <c r="F19" s="2" t="s">
        <v>398</v>
      </c>
      <c r="G19" s="2" t="s">
        <v>283</v>
      </c>
    </row>
    <row r="20">
      <c r="A20" s="2" t="s">
        <v>438</v>
      </c>
      <c r="B20" s="2" t="s">
        <v>439</v>
      </c>
      <c r="C20" s="2" t="s">
        <v>27</v>
      </c>
      <c r="D20" s="2" t="s">
        <v>29</v>
      </c>
      <c r="E20" s="2" t="s">
        <v>397</v>
      </c>
      <c r="F20" s="2" t="s">
        <v>401</v>
      </c>
      <c r="G20" s="2" t="s">
        <v>112</v>
      </c>
    </row>
    <row r="21">
      <c r="A21" s="2" t="s">
        <v>440</v>
      </c>
      <c r="B21" s="2" t="s">
        <v>441</v>
      </c>
      <c r="C21" s="2" t="s">
        <v>27</v>
      </c>
      <c r="D21" s="2" t="s">
        <v>29</v>
      </c>
      <c r="E21" s="2" t="s">
        <v>397</v>
      </c>
      <c r="F21" s="2" t="s">
        <v>401</v>
      </c>
      <c r="G21" s="2" t="s">
        <v>114</v>
      </c>
    </row>
    <row r="22">
      <c r="A22" s="2" t="s">
        <v>442</v>
      </c>
      <c r="B22" s="2" t="s">
        <v>443</v>
      </c>
      <c r="C22" s="2" t="s">
        <v>27</v>
      </c>
      <c r="D22" s="2" t="s">
        <v>29</v>
      </c>
      <c r="E22" s="2" t="s">
        <v>397</v>
      </c>
      <c r="F22" s="2" t="s">
        <v>401</v>
      </c>
      <c r="G22" s="2" t="s">
        <v>115</v>
      </c>
    </row>
    <row r="23">
      <c r="A23" s="2" t="s">
        <v>444</v>
      </c>
      <c r="B23" s="2" t="s">
        <v>445</v>
      </c>
      <c r="C23" s="2" t="s">
        <v>27</v>
      </c>
      <c r="D23" s="2" t="s">
        <v>29</v>
      </c>
      <c r="E23" s="2" t="s">
        <v>397</v>
      </c>
      <c r="F23" s="2" t="s">
        <v>401</v>
      </c>
      <c r="G23" s="2" t="s">
        <v>117</v>
      </c>
    </row>
    <row r="24">
      <c r="A24" s="2" t="s">
        <v>446</v>
      </c>
      <c r="B24" s="2" t="s">
        <v>447</v>
      </c>
      <c r="C24" s="2" t="s">
        <v>27</v>
      </c>
      <c r="D24" s="2" t="s">
        <v>29</v>
      </c>
      <c r="E24" s="2" t="s">
        <v>437</v>
      </c>
      <c r="F24" s="2" t="s">
        <v>401</v>
      </c>
      <c r="G24" s="2" t="s">
        <v>117</v>
      </c>
    </row>
    <row r="25">
      <c r="A25" s="2" t="s">
        <v>448</v>
      </c>
      <c r="B25" s="2" t="s">
        <v>449</v>
      </c>
      <c r="C25" s="2" t="s">
        <v>27</v>
      </c>
      <c r="D25" s="2" t="s">
        <v>29</v>
      </c>
      <c r="E25" s="2" t="s">
        <v>397</v>
      </c>
      <c r="F25" s="2" t="s">
        <v>401</v>
      </c>
      <c r="G25" s="2" t="s">
        <v>120</v>
      </c>
    </row>
    <row r="26">
      <c r="A26" s="2" t="s">
        <v>450</v>
      </c>
      <c r="B26" s="2" t="s">
        <v>451</v>
      </c>
      <c r="C26" s="2" t="s">
        <v>27</v>
      </c>
      <c r="D26" s="2" t="s">
        <v>29</v>
      </c>
      <c r="E26" s="2" t="s">
        <v>397</v>
      </c>
      <c r="F26" s="2" t="s">
        <v>401</v>
      </c>
      <c r="G26" s="2" t="s">
        <v>123</v>
      </c>
    </row>
    <row r="27">
      <c r="A27" s="2" t="s">
        <v>452</v>
      </c>
      <c r="B27" s="2" t="s">
        <v>453</v>
      </c>
      <c r="C27" s="2" t="s">
        <v>27</v>
      </c>
      <c r="D27" s="2" t="s">
        <v>29</v>
      </c>
      <c r="E27" s="2" t="s">
        <v>397</v>
      </c>
      <c r="F27" s="2" t="s">
        <v>401</v>
      </c>
      <c r="G27" s="2" t="s">
        <v>129</v>
      </c>
    </row>
    <row r="28">
      <c r="A28" s="2" t="s">
        <v>454</v>
      </c>
      <c r="B28" s="2" t="s">
        <v>455</v>
      </c>
      <c r="C28" s="2" t="s">
        <v>27</v>
      </c>
      <c r="D28" s="2" t="s">
        <v>29</v>
      </c>
      <c r="E28" s="2" t="s">
        <v>397</v>
      </c>
      <c r="F28" s="2" t="s">
        <v>401</v>
      </c>
      <c r="G28" s="2" t="s">
        <v>133</v>
      </c>
    </row>
    <row r="29">
      <c r="A29" s="2" t="s">
        <v>456</v>
      </c>
      <c r="B29" s="2" t="s">
        <v>457</v>
      </c>
      <c r="C29" s="2" t="s">
        <v>27</v>
      </c>
      <c r="D29" s="2" t="s">
        <v>29</v>
      </c>
      <c r="E29" s="2" t="s">
        <v>397</v>
      </c>
      <c r="F29" s="2" t="s">
        <v>401</v>
      </c>
      <c r="G29" s="2" t="s">
        <v>135</v>
      </c>
    </row>
    <row r="30">
      <c r="A30" s="2" t="s">
        <v>458</v>
      </c>
      <c r="B30" s="2" t="s">
        <v>459</v>
      </c>
      <c r="C30" s="2" t="s">
        <v>27</v>
      </c>
      <c r="D30" s="2" t="s">
        <v>29</v>
      </c>
      <c r="E30" s="2" t="s">
        <v>397</v>
      </c>
      <c r="F30" s="2" t="s">
        <v>401</v>
      </c>
      <c r="G30" s="2" t="s">
        <v>137</v>
      </c>
    </row>
    <row r="31">
      <c r="A31" s="2" t="s">
        <v>460</v>
      </c>
      <c r="B31" s="2" t="s">
        <v>461</v>
      </c>
      <c r="C31" s="2" t="s">
        <v>27</v>
      </c>
      <c r="D31" s="2" t="s">
        <v>29</v>
      </c>
      <c r="E31" s="2" t="s">
        <v>397</v>
      </c>
      <c r="F31" s="2" t="s">
        <v>401</v>
      </c>
      <c r="G31" s="2" t="s">
        <v>140</v>
      </c>
    </row>
    <row r="32">
      <c r="A32" s="2" t="s">
        <v>462</v>
      </c>
      <c r="B32" s="2" t="s">
        <v>463</v>
      </c>
      <c r="C32" s="2" t="s">
        <v>27</v>
      </c>
      <c r="D32" s="2" t="s">
        <v>29</v>
      </c>
      <c r="E32" s="2" t="s">
        <v>397</v>
      </c>
      <c r="F32" s="2" t="s">
        <v>401</v>
      </c>
      <c r="G32" s="2" t="s">
        <v>142</v>
      </c>
    </row>
    <row r="33">
      <c r="A33" s="2" t="s">
        <v>464</v>
      </c>
      <c r="B33" s="2" t="s">
        <v>465</v>
      </c>
      <c r="C33" s="2" t="s">
        <v>27</v>
      </c>
      <c r="D33" s="2" t="s">
        <v>29</v>
      </c>
      <c r="E33" s="2" t="s">
        <v>397</v>
      </c>
      <c r="F33" s="2" t="s">
        <v>401</v>
      </c>
      <c r="G33" s="2" t="s">
        <v>144</v>
      </c>
    </row>
    <row r="34">
      <c r="A34" s="2" t="s">
        <v>466</v>
      </c>
      <c r="B34" s="2" t="s">
        <v>467</v>
      </c>
      <c r="C34" s="2" t="s">
        <v>27</v>
      </c>
      <c r="D34" s="2" t="s">
        <v>29</v>
      </c>
      <c r="E34" s="2" t="s">
        <v>397</v>
      </c>
      <c r="F34" s="2" t="s">
        <v>401</v>
      </c>
      <c r="G34" s="2" t="s">
        <v>147</v>
      </c>
    </row>
    <row r="35">
      <c r="A35" s="2" t="s">
        <v>468</v>
      </c>
      <c r="B35" s="2" t="s">
        <v>469</v>
      </c>
      <c r="C35" s="2" t="s">
        <v>27</v>
      </c>
      <c r="D35" s="2" t="s">
        <v>29</v>
      </c>
      <c r="E35" s="2" t="s">
        <v>470</v>
      </c>
      <c r="F35" s="2" t="s">
        <v>471</v>
      </c>
      <c r="G35" s="2" t="s">
        <v>472</v>
      </c>
      <c r="H35" s="2" t="s">
        <v>116</v>
      </c>
    </row>
    <row r="36">
      <c r="A36" s="2" t="s">
        <v>473</v>
      </c>
      <c r="B36" s="2" t="s">
        <v>469</v>
      </c>
      <c r="C36" s="2" t="s">
        <v>27</v>
      </c>
      <c r="D36" s="2" t="s">
        <v>29</v>
      </c>
      <c r="E36" s="2" t="s">
        <v>470</v>
      </c>
      <c r="F36" s="2" t="s">
        <v>471</v>
      </c>
      <c r="G36" s="2" t="s">
        <v>474</v>
      </c>
      <c r="H36" s="2" t="s">
        <v>113</v>
      </c>
    </row>
    <row r="37">
      <c r="A37" s="2" t="s">
        <v>475</v>
      </c>
      <c r="B37" s="2" t="s">
        <v>469</v>
      </c>
      <c r="C37" s="2" t="s">
        <v>27</v>
      </c>
      <c r="D37" s="2" t="s">
        <v>29</v>
      </c>
      <c r="E37" s="2" t="s">
        <v>470</v>
      </c>
      <c r="F37" s="2" t="s">
        <v>471</v>
      </c>
      <c r="G37" s="2" t="s">
        <v>476</v>
      </c>
      <c r="H37" s="2" t="s">
        <v>294</v>
      </c>
    </row>
    <row r="38">
      <c r="A38" s="2" t="s">
        <v>477</v>
      </c>
      <c r="B38" s="2" t="s">
        <v>287</v>
      </c>
      <c r="C38" s="2" t="s">
        <v>27</v>
      </c>
      <c r="D38" s="2" t="s">
        <v>29</v>
      </c>
      <c r="E38" s="2" t="s">
        <v>470</v>
      </c>
      <c r="F38" s="2" t="s">
        <v>471</v>
      </c>
      <c r="G38" s="2" t="s">
        <v>273</v>
      </c>
      <c r="H38" s="2" t="s">
        <v>116</v>
      </c>
    </row>
    <row r="39">
      <c r="A39" s="2" t="s">
        <v>478</v>
      </c>
      <c r="B39" s="2" t="s">
        <v>287</v>
      </c>
      <c r="C39" s="2" t="s">
        <v>27</v>
      </c>
      <c r="D39" s="2" t="s">
        <v>29</v>
      </c>
      <c r="E39" s="2" t="s">
        <v>470</v>
      </c>
      <c r="F39" s="2" t="s">
        <v>471</v>
      </c>
      <c r="G39" s="2" t="s">
        <v>290</v>
      </c>
      <c r="H39" s="2" t="s">
        <v>113</v>
      </c>
    </row>
    <row r="40">
      <c r="A40" s="2" t="s">
        <v>479</v>
      </c>
      <c r="B40" s="2" t="s">
        <v>287</v>
      </c>
      <c r="C40" s="2" t="s">
        <v>27</v>
      </c>
      <c r="D40" s="2" t="s">
        <v>29</v>
      </c>
      <c r="E40" s="2" t="s">
        <v>470</v>
      </c>
      <c r="F40" s="2" t="s">
        <v>471</v>
      </c>
      <c r="G40" s="2" t="s">
        <v>292</v>
      </c>
      <c r="H40" s="2" t="s">
        <v>294</v>
      </c>
    </row>
    <row r="41">
      <c r="A41" s="2" t="s">
        <v>480</v>
      </c>
      <c r="B41" s="2" t="s">
        <v>481</v>
      </c>
      <c r="C41" s="2" t="s">
        <v>27</v>
      </c>
      <c r="D41" s="2" t="s">
        <v>29</v>
      </c>
      <c r="E41" s="2" t="s">
        <v>482</v>
      </c>
      <c r="F41" s="2" t="s">
        <v>406</v>
      </c>
      <c r="G41" s="2" t="s">
        <v>407</v>
      </c>
    </row>
    <row r="42">
      <c r="A42" s="2" t="s">
        <v>483</v>
      </c>
      <c r="B42" s="2" t="s">
        <v>484</v>
      </c>
      <c r="C42" s="2" t="s">
        <v>27</v>
      </c>
      <c r="D42" s="2" t="s">
        <v>29</v>
      </c>
      <c r="E42" s="2" t="s">
        <v>485</v>
      </c>
      <c r="F42" s="2" t="s">
        <v>110</v>
      </c>
      <c r="G42" s="2" t="s">
        <v>107</v>
      </c>
      <c r="H42" s="2" t="s">
        <v>486</v>
      </c>
    </row>
    <row r="43">
      <c r="A43" s="2" t="s">
        <v>487</v>
      </c>
      <c r="B43" s="2" t="s">
        <v>488</v>
      </c>
      <c r="C43" s="2" t="s">
        <v>27</v>
      </c>
      <c r="D43" s="2" t="s">
        <v>29</v>
      </c>
      <c r="E43" s="2" t="s">
        <v>485</v>
      </c>
      <c r="F43" s="2" t="s">
        <v>126</v>
      </c>
      <c r="G43" s="2" t="s">
        <v>125</v>
      </c>
      <c r="H43" s="2" t="s">
        <v>489</v>
      </c>
    </row>
    <row r="44">
      <c r="A44" s="2" t="s">
        <v>490</v>
      </c>
      <c r="B44" s="2" t="s">
        <v>491</v>
      </c>
      <c r="C44" s="2" t="s">
        <v>27</v>
      </c>
      <c r="D44" s="2" t="s">
        <v>29</v>
      </c>
      <c r="E44" s="2" t="s">
        <v>485</v>
      </c>
      <c r="F44" s="2" t="s">
        <v>130</v>
      </c>
      <c r="G44" s="2" t="s">
        <v>128</v>
      </c>
      <c r="H44" s="2" t="s">
        <v>492</v>
      </c>
    </row>
    <row r="45">
      <c r="A45" s="2" t="s">
        <v>493</v>
      </c>
      <c r="B45" s="2" t="s">
        <v>494</v>
      </c>
      <c r="C45" s="2" t="s">
        <v>27</v>
      </c>
      <c r="D45" s="2" t="s">
        <v>29</v>
      </c>
      <c r="E45" s="2" t="s">
        <v>485</v>
      </c>
      <c r="F45" s="2" t="s">
        <v>110</v>
      </c>
      <c r="G45" s="2" t="s">
        <v>107</v>
      </c>
      <c r="H45" s="2" t="s">
        <v>486</v>
      </c>
    </row>
    <row r="46">
      <c r="A46" s="2" t="s">
        <v>495</v>
      </c>
      <c r="B46" s="2" t="s">
        <v>496</v>
      </c>
      <c r="C46" s="2" t="s">
        <v>27</v>
      </c>
      <c r="D46" s="2" t="s">
        <v>29</v>
      </c>
      <c r="E46" s="2" t="s">
        <v>485</v>
      </c>
      <c r="F46" s="2" t="s">
        <v>126</v>
      </c>
      <c r="G46" s="2" t="s">
        <v>125</v>
      </c>
      <c r="H46" s="2" t="s">
        <v>489</v>
      </c>
    </row>
    <row r="47">
      <c r="A47" s="2" t="s">
        <v>497</v>
      </c>
      <c r="B47" s="2" t="s">
        <v>498</v>
      </c>
      <c r="C47" s="2" t="s">
        <v>27</v>
      </c>
      <c r="D47" s="2" t="s">
        <v>29</v>
      </c>
      <c r="E47" s="2" t="s">
        <v>485</v>
      </c>
      <c r="F47" s="2" t="s">
        <v>130</v>
      </c>
      <c r="G47" s="2" t="s">
        <v>128</v>
      </c>
      <c r="H47" s="2" t="s">
        <v>492</v>
      </c>
    </row>
    <row r="48">
      <c r="A48" s="2" t="s">
        <v>499</v>
      </c>
      <c r="B48" s="2" t="s">
        <v>500</v>
      </c>
      <c r="C48" s="2" t="s">
        <v>27</v>
      </c>
      <c r="D48" s="2" t="s">
        <v>29</v>
      </c>
      <c r="E48" s="2" t="s">
        <v>397</v>
      </c>
      <c r="F48" s="2" t="s">
        <v>398</v>
      </c>
      <c r="G48" s="2" t="s">
        <v>306</v>
      </c>
    </row>
    <row r="49">
      <c r="A49" s="2" t="s">
        <v>501</v>
      </c>
      <c r="B49" s="2" t="s">
        <v>502</v>
      </c>
      <c r="C49" s="2" t="s">
        <v>52</v>
      </c>
      <c r="D49" s="2" t="s">
        <v>54</v>
      </c>
      <c r="E49" s="2" t="s">
        <v>397</v>
      </c>
      <c r="F49" s="2" t="s">
        <v>398</v>
      </c>
      <c r="G49" s="2" t="s">
        <v>311</v>
      </c>
    </row>
    <row r="50">
      <c r="A50" s="2" t="s">
        <v>503</v>
      </c>
      <c r="B50" s="2" t="s">
        <v>504</v>
      </c>
      <c r="C50" s="2" t="s">
        <v>52</v>
      </c>
      <c r="D50" s="2" t="s">
        <v>54</v>
      </c>
      <c r="E50" s="2" t="s">
        <v>397</v>
      </c>
      <c r="F50" s="2" t="s">
        <v>398</v>
      </c>
      <c r="G50" s="2" t="s">
        <v>316</v>
      </c>
    </row>
    <row r="51">
      <c r="A51" s="2" t="s">
        <v>505</v>
      </c>
      <c r="B51" s="2" t="s">
        <v>506</v>
      </c>
      <c r="C51" s="2" t="s">
        <v>52</v>
      </c>
      <c r="D51" s="2" t="s">
        <v>54</v>
      </c>
      <c r="E51" s="2" t="s">
        <v>437</v>
      </c>
      <c r="F51" s="2" t="s">
        <v>398</v>
      </c>
      <c r="G51" s="2" t="s">
        <v>283</v>
      </c>
    </row>
    <row r="52">
      <c r="A52" s="2" t="s">
        <v>507</v>
      </c>
      <c r="B52" s="2" t="s">
        <v>508</v>
      </c>
      <c r="C52" s="2" t="s">
        <v>52</v>
      </c>
      <c r="D52" s="2" t="s">
        <v>54</v>
      </c>
      <c r="E52" s="2" t="s">
        <v>397</v>
      </c>
      <c r="F52" s="2" t="s">
        <v>398</v>
      </c>
      <c r="G52" s="2" t="s">
        <v>329</v>
      </c>
    </row>
    <row r="53">
      <c r="A53" s="2" t="s">
        <v>509</v>
      </c>
      <c r="B53" s="2" t="s">
        <v>510</v>
      </c>
      <c r="C53" s="2" t="s">
        <v>52</v>
      </c>
      <c r="D53" s="2" t="s">
        <v>54</v>
      </c>
      <c r="E53" s="2" t="s">
        <v>397</v>
      </c>
      <c r="F53" s="2" t="s">
        <v>398</v>
      </c>
      <c r="G53" s="2" t="s">
        <v>339</v>
      </c>
    </row>
    <row r="54">
      <c r="A54" s="2" t="s">
        <v>511</v>
      </c>
      <c r="B54" s="2" t="s">
        <v>512</v>
      </c>
      <c r="C54" s="2" t="s">
        <v>27</v>
      </c>
      <c r="D54" s="2" t="s">
        <v>29</v>
      </c>
      <c r="E54" s="2" t="s">
        <v>437</v>
      </c>
      <c r="F54" s="2" t="s">
        <v>398</v>
      </c>
      <c r="G54" s="2" t="s">
        <v>316</v>
      </c>
    </row>
    <row r="55">
      <c r="A55" s="2" t="s">
        <v>513</v>
      </c>
      <c r="B55" s="2" t="s">
        <v>514</v>
      </c>
      <c r="C55" s="2" t="s">
        <v>27</v>
      </c>
      <c r="D55" s="2" t="s">
        <v>29</v>
      </c>
      <c r="E55" s="2" t="s">
        <v>397</v>
      </c>
      <c r="F55" s="2" t="s">
        <v>515</v>
      </c>
      <c r="G55" s="2" t="s">
        <v>330</v>
      </c>
    </row>
    <row r="56">
      <c r="A56" s="2" t="s">
        <v>516</v>
      </c>
      <c r="B56" s="2" t="s">
        <v>517</v>
      </c>
      <c r="C56" s="2" t="s">
        <v>27</v>
      </c>
      <c r="D56" s="2" t="s">
        <v>29</v>
      </c>
      <c r="E56" s="2" t="s">
        <v>397</v>
      </c>
      <c r="F56" s="2" t="s">
        <v>515</v>
      </c>
      <c r="G56" s="2" t="s">
        <v>351</v>
      </c>
    </row>
    <row r="57">
      <c r="A57" s="2" t="s">
        <v>518</v>
      </c>
      <c r="B57" s="2" t="s">
        <v>519</v>
      </c>
      <c r="C57" s="2" t="s">
        <v>27</v>
      </c>
      <c r="D57" s="2" t="s">
        <v>29</v>
      </c>
      <c r="E57" s="2" t="s">
        <v>397</v>
      </c>
      <c r="F57" s="2" t="s">
        <v>515</v>
      </c>
      <c r="G57" s="2" t="s">
        <v>359</v>
      </c>
    </row>
    <row r="58">
      <c r="A58" s="2" t="s">
        <v>520</v>
      </c>
      <c r="B58" s="2" t="s">
        <v>521</v>
      </c>
      <c r="C58" s="2" t="s">
        <v>27</v>
      </c>
      <c r="D58" s="2" t="s">
        <v>29</v>
      </c>
      <c r="E58" s="2" t="s">
        <v>437</v>
      </c>
      <c r="F58" s="2" t="s">
        <v>515</v>
      </c>
      <c r="G58" s="2" t="s">
        <v>330</v>
      </c>
    </row>
    <row r="59">
      <c r="A59" s="2" t="s">
        <v>522</v>
      </c>
      <c r="B59" s="2" t="s">
        <v>523</v>
      </c>
      <c r="C59" s="2" t="s">
        <v>44</v>
      </c>
      <c r="D59" s="2" t="s">
        <v>46</v>
      </c>
      <c r="E59" s="2" t="s">
        <v>485</v>
      </c>
      <c r="F59" s="2" t="s">
        <v>110</v>
      </c>
      <c r="G59" s="2" t="s">
        <v>107</v>
      </c>
      <c r="H59" s="2" t="s">
        <v>524</v>
      </c>
    </row>
    <row r="60">
      <c r="A60" s="2" t="s">
        <v>525</v>
      </c>
      <c r="B60" s="2" t="s">
        <v>526</v>
      </c>
      <c r="C60" s="2" t="s">
        <v>44</v>
      </c>
      <c r="D60" s="2" t="s">
        <v>46</v>
      </c>
      <c r="E60" s="2" t="s">
        <v>485</v>
      </c>
      <c r="F60" s="2" t="s">
        <v>126</v>
      </c>
      <c r="G60" s="2" t="s">
        <v>125</v>
      </c>
      <c r="H60" s="2" t="s">
        <v>527</v>
      </c>
    </row>
    <row r="61">
      <c r="A61" s="2" t="s">
        <v>528</v>
      </c>
      <c r="B61" s="2" t="s">
        <v>529</v>
      </c>
      <c r="C61" s="2" t="s">
        <v>44</v>
      </c>
      <c r="D61" s="2" t="s">
        <v>46</v>
      </c>
      <c r="E61" s="2" t="s">
        <v>485</v>
      </c>
      <c r="F61" s="2" t="s">
        <v>130</v>
      </c>
      <c r="G61" s="2" t="s">
        <v>128</v>
      </c>
      <c r="H61" s="2" t="s">
        <v>530</v>
      </c>
    </row>
    <row r="62">
      <c r="A62" s="2" t="s">
        <v>531</v>
      </c>
      <c r="B62" s="2" t="s">
        <v>532</v>
      </c>
      <c r="C62" s="2" t="s">
        <v>52</v>
      </c>
      <c r="D62" s="2" t="s">
        <v>54</v>
      </c>
      <c r="E62" s="2" t="s">
        <v>397</v>
      </c>
      <c r="F62" s="2" t="s">
        <v>533</v>
      </c>
      <c r="G62" s="2" t="s">
        <v>383</v>
      </c>
    </row>
    <row r="63">
      <c r="A63" s="2" t="s">
        <v>534</v>
      </c>
      <c r="B63" s="2" t="s">
        <v>535</v>
      </c>
      <c r="C63" s="2" t="s">
        <v>52</v>
      </c>
      <c r="D63" s="2" t="s">
        <v>54</v>
      </c>
      <c r="E63" s="2" t="s">
        <v>437</v>
      </c>
      <c r="F63" s="2" t="s">
        <v>533</v>
      </c>
      <c r="G63" s="2" t="s">
        <v>383</v>
      </c>
    </row>
    <row r="64">
      <c r="A64" s="2" t="s">
        <v>536</v>
      </c>
      <c r="B64" s="2" t="s">
        <v>537</v>
      </c>
      <c r="C64" s="2" t="s">
        <v>27</v>
      </c>
      <c r="D64" s="2" t="s">
        <v>29</v>
      </c>
      <c r="E64" s="2" t="s">
        <v>397</v>
      </c>
      <c r="F64" s="2" t="s">
        <v>538</v>
      </c>
      <c r="G64" s="2" t="s">
        <v>539</v>
      </c>
      <c r="H64" s="2" t="s">
        <v>28</v>
      </c>
    </row>
    <row r="65">
      <c r="A65" s="2" t="s">
        <v>540</v>
      </c>
      <c r="B65" s="2" t="s">
        <v>541</v>
      </c>
      <c r="C65" s="2" t="s">
        <v>27</v>
      </c>
      <c r="D65" s="2" t="s">
        <v>29</v>
      </c>
      <c r="E65" s="2" t="s">
        <v>397</v>
      </c>
      <c r="F65" s="2" t="s">
        <v>538</v>
      </c>
      <c r="G65" s="2" t="s">
        <v>542</v>
      </c>
      <c r="H65" s="2" t="s">
        <v>28</v>
      </c>
    </row>
    <row r="66">
      <c r="A66" s="2" t="s">
        <v>543</v>
      </c>
      <c r="B66" s="2" t="s">
        <v>544</v>
      </c>
      <c r="C66" s="2" t="s">
        <v>44</v>
      </c>
      <c r="D66" s="2" t="s">
        <v>46</v>
      </c>
      <c r="E66" s="2" t="s">
        <v>397</v>
      </c>
      <c r="F66" s="2" t="s">
        <v>538</v>
      </c>
      <c r="G66" s="2" t="s">
        <v>545</v>
      </c>
      <c r="H66" s="2" t="s">
        <v>28</v>
      </c>
    </row>
    <row r="67">
      <c r="A67" s="2" t="s">
        <v>546</v>
      </c>
      <c r="B67" s="2" t="s">
        <v>547</v>
      </c>
      <c r="C67" s="2" t="s">
        <v>44</v>
      </c>
      <c r="D67" s="2" t="s">
        <v>46</v>
      </c>
      <c r="E67" s="2" t="s">
        <v>482</v>
      </c>
      <c r="F67" s="2" t="s">
        <v>538</v>
      </c>
      <c r="G67" s="2" t="s">
        <v>545</v>
      </c>
      <c r="H67" s="2" t="s">
        <v>28</v>
      </c>
    </row>
    <row r="68">
      <c r="A68" s="2" t="s">
        <v>548</v>
      </c>
      <c r="B68" s="2" t="s">
        <v>549</v>
      </c>
      <c r="C68" s="2" t="s">
        <v>44</v>
      </c>
      <c r="D68" s="2" t="s">
        <v>46</v>
      </c>
      <c r="E68" s="2" t="s">
        <v>397</v>
      </c>
      <c r="F68" s="2" t="s">
        <v>538</v>
      </c>
      <c r="G68" s="2" t="s">
        <v>550</v>
      </c>
      <c r="H68" s="2" t="s">
        <v>28</v>
      </c>
    </row>
    <row r="69">
      <c r="A69" s="2" t="s">
        <v>551</v>
      </c>
      <c r="B69" s="2" t="s">
        <v>552</v>
      </c>
      <c r="C69" s="2" t="s">
        <v>44</v>
      </c>
      <c r="D69" s="2" t="s">
        <v>46</v>
      </c>
      <c r="E69" s="2" t="s">
        <v>482</v>
      </c>
      <c r="F69" s="2" t="s">
        <v>538</v>
      </c>
      <c r="G69" s="2" t="s">
        <v>550</v>
      </c>
      <c r="H69" s="2" t="s">
        <v>28</v>
      </c>
    </row>
    <row r="70">
      <c r="A70" s="2" t="s">
        <v>553</v>
      </c>
      <c r="B70" s="2" t="s">
        <v>554</v>
      </c>
      <c r="C70" s="2" t="s">
        <v>44</v>
      </c>
      <c r="D70" s="2" t="s">
        <v>46</v>
      </c>
      <c r="E70" s="2" t="s">
        <v>397</v>
      </c>
      <c r="F70" s="2" t="s">
        <v>555</v>
      </c>
      <c r="G70" s="2" t="s">
        <v>556</v>
      </c>
    </row>
    <row r="71">
      <c r="A71" s="2" t="s">
        <v>557</v>
      </c>
      <c r="B71" s="2" t="s">
        <v>558</v>
      </c>
      <c r="C71" s="2" t="s">
        <v>44</v>
      </c>
      <c r="D71" s="2" t="s">
        <v>46</v>
      </c>
      <c r="E71" s="2" t="s">
        <v>482</v>
      </c>
      <c r="F71" s="2" t="s">
        <v>555</v>
      </c>
      <c r="G71" s="2" t="s">
        <v>556</v>
      </c>
    </row>
    <row r="72">
      <c r="A72" s="2" t="s">
        <v>559</v>
      </c>
      <c r="B72" s="2" t="s">
        <v>560</v>
      </c>
      <c r="C72" s="2" t="s">
        <v>27</v>
      </c>
      <c r="D72" s="2" t="s">
        <v>29</v>
      </c>
      <c r="E72" s="2" t="s">
        <v>397</v>
      </c>
      <c r="F72" s="2" t="s">
        <v>538</v>
      </c>
      <c r="G72" s="2" t="s">
        <v>561</v>
      </c>
      <c r="H72" s="2" t="s">
        <v>28</v>
      </c>
    </row>
    <row r="73">
      <c r="A73" s="2" t="s">
        <v>562</v>
      </c>
      <c r="B73" s="2" t="s">
        <v>563</v>
      </c>
      <c r="C73" s="2" t="s">
        <v>44</v>
      </c>
      <c r="D73" s="2" t="s">
        <v>46</v>
      </c>
      <c r="E73" s="2" t="s">
        <v>397</v>
      </c>
      <c r="F73" s="2" t="s">
        <v>538</v>
      </c>
      <c r="G73" s="2" t="s">
        <v>564</v>
      </c>
      <c r="H73" s="2" t="s">
        <v>28</v>
      </c>
    </row>
    <row r="74">
      <c r="A74" s="2" t="s">
        <v>565</v>
      </c>
      <c r="B74" s="2" t="s">
        <v>566</v>
      </c>
      <c r="C74" s="2" t="s">
        <v>44</v>
      </c>
      <c r="D74" s="2" t="s">
        <v>46</v>
      </c>
      <c r="E74" s="2" t="s">
        <v>482</v>
      </c>
      <c r="F74" s="2" t="s">
        <v>538</v>
      </c>
      <c r="G74" s="2" t="s">
        <v>564</v>
      </c>
      <c r="H74" s="2" t="s">
        <v>28</v>
      </c>
    </row>
    <row r="75">
      <c r="A75" s="2" t="s">
        <v>567</v>
      </c>
      <c r="B75" s="2" t="s">
        <v>568</v>
      </c>
      <c r="C75" s="2" t="s">
        <v>44</v>
      </c>
      <c r="D75" s="2" t="s">
        <v>46</v>
      </c>
      <c r="E75" s="2" t="s">
        <v>482</v>
      </c>
      <c r="F75" s="2" t="s">
        <v>538</v>
      </c>
      <c r="G75" s="2" t="s">
        <v>561</v>
      </c>
      <c r="H75" s="2" t="s">
        <v>28</v>
      </c>
    </row>
    <row r="76">
      <c r="A76" s="2" t="s">
        <v>569</v>
      </c>
      <c r="B76" s="2" t="s">
        <v>570</v>
      </c>
      <c r="C76" s="2" t="s">
        <v>44</v>
      </c>
      <c r="D76" s="2" t="s">
        <v>46</v>
      </c>
      <c r="E76" s="2" t="s">
        <v>397</v>
      </c>
      <c r="F76" s="2" t="s">
        <v>538</v>
      </c>
      <c r="G76" s="2" t="s">
        <v>571</v>
      </c>
      <c r="H76" s="2" t="s">
        <v>28</v>
      </c>
    </row>
    <row r="77">
      <c r="A77" s="2" t="s">
        <v>572</v>
      </c>
      <c r="B77" s="2" t="s">
        <v>573</v>
      </c>
      <c r="C77" s="2" t="s">
        <v>44</v>
      </c>
      <c r="D77" s="2" t="s">
        <v>46</v>
      </c>
      <c r="E77" s="2" t="s">
        <v>482</v>
      </c>
      <c r="F77" s="2" t="s">
        <v>538</v>
      </c>
      <c r="G77" s="2" t="s">
        <v>571</v>
      </c>
      <c r="H77" s="2" t="s">
        <v>28</v>
      </c>
    </row>
    <row r="78">
      <c r="A78" s="2" t="s">
        <v>574</v>
      </c>
      <c r="B78" s="2" t="s">
        <v>575</v>
      </c>
      <c r="C78" s="2" t="s">
        <v>27</v>
      </c>
      <c r="D78" s="2" t="s">
        <v>29</v>
      </c>
      <c r="E78" s="2" t="s">
        <v>397</v>
      </c>
      <c r="F78" s="2" t="s">
        <v>576</v>
      </c>
      <c r="G78" s="2" t="s">
        <v>577</v>
      </c>
      <c r="H78" s="2" t="s">
        <v>28</v>
      </c>
    </row>
    <row r="79">
      <c r="A79" s="2" t="s">
        <v>578</v>
      </c>
      <c r="B79" s="2" t="s">
        <v>579</v>
      </c>
      <c r="C79" s="2" t="s">
        <v>44</v>
      </c>
      <c r="D79" s="2" t="s">
        <v>46</v>
      </c>
      <c r="E79" s="2" t="s">
        <v>482</v>
      </c>
      <c r="F79" s="2" t="s">
        <v>576</v>
      </c>
      <c r="G79" s="2" t="s">
        <v>577</v>
      </c>
      <c r="H79" s="2" t="s">
        <v>28</v>
      </c>
    </row>
    <row r="80">
      <c r="A80" s="2" t="s">
        <v>580</v>
      </c>
      <c r="B80" s="2" t="s">
        <v>581</v>
      </c>
      <c r="C80" s="2" t="s">
        <v>44</v>
      </c>
      <c r="D80" s="2" t="s">
        <v>46</v>
      </c>
      <c r="E80" s="2" t="s">
        <v>397</v>
      </c>
      <c r="F80" s="2" t="s">
        <v>576</v>
      </c>
      <c r="G80" s="2" t="s">
        <v>582</v>
      </c>
      <c r="H80" s="2" t="s">
        <v>28</v>
      </c>
    </row>
    <row r="81">
      <c r="A81" s="2" t="s">
        <v>583</v>
      </c>
      <c r="B81" s="2" t="s">
        <v>584</v>
      </c>
      <c r="C81" s="2" t="s">
        <v>44</v>
      </c>
      <c r="D81" s="2" t="s">
        <v>46</v>
      </c>
      <c r="E81" s="2" t="s">
        <v>397</v>
      </c>
      <c r="F81" s="2" t="s">
        <v>576</v>
      </c>
      <c r="G81" s="2" t="s">
        <v>585</v>
      </c>
      <c r="H81" s="2" t="s">
        <v>28</v>
      </c>
    </row>
    <row r="82">
      <c r="A82" s="2" t="s">
        <v>586</v>
      </c>
      <c r="B82" s="2" t="s">
        <v>587</v>
      </c>
      <c r="C82" s="2" t="s">
        <v>44</v>
      </c>
      <c r="D82" s="2" t="s">
        <v>46</v>
      </c>
      <c r="E82" s="2" t="s">
        <v>482</v>
      </c>
      <c r="F82" s="2" t="s">
        <v>576</v>
      </c>
      <c r="G82" s="2" t="s">
        <v>582</v>
      </c>
      <c r="H82" s="2" t="s">
        <v>28</v>
      </c>
    </row>
    <row r="83">
      <c r="A83" s="2" t="s">
        <v>588</v>
      </c>
      <c r="B83" s="2" t="s">
        <v>589</v>
      </c>
      <c r="C83" s="2" t="s">
        <v>44</v>
      </c>
      <c r="D83" s="2" t="s">
        <v>46</v>
      </c>
      <c r="E83" s="2" t="s">
        <v>482</v>
      </c>
      <c r="F83" s="2" t="s">
        <v>576</v>
      </c>
      <c r="G83" s="2" t="s">
        <v>585</v>
      </c>
      <c r="H83" s="2" t="s">
        <v>28</v>
      </c>
    </row>
    <row r="84">
      <c r="A84" s="2" t="s">
        <v>590</v>
      </c>
      <c r="B84" s="2" t="s">
        <v>591</v>
      </c>
      <c r="C84" s="2" t="s">
        <v>44</v>
      </c>
      <c r="D84" s="2" t="s">
        <v>46</v>
      </c>
      <c r="E84" s="2" t="s">
        <v>397</v>
      </c>
      <c r="F84" s="2" t="s">
        <v>471</v>
      </c>
      <c r="G84" s="2" t="s">
        <v>592</v>
      </c>
    </row>
    <row r="85">
      <c r="A85" s="2" t="s">
        <v>593</v>
      </c>
      <c r="B85" s="2" t="s">
        <v>594</v>
      </c>
      <c r="C85" s="2" t="s">
        <v>44</v>
      </c>
      <c r="D85" s="2" t="s">
        <v>46</v>
      </c>
      <c r="E85" s="2" t="s">
        <v>437</v>
      </c>
      <c r="F85" s="2" t="s">
        <v>471</v>
      </c>
      <c r="G85" s="2" t="s">
        <v>592</v>
      </c>
    </row>
    <row r="86">
      <c r="A86" s="2" t="s">
        <v>595</v>
      </c>
      <c r="B86" s="2" t="s">
        <v>596</v>
      </c>
      <c r="C86" s="2" t="s">
        <v>44</v>
      </c>
      <c r="D86" s="2" t="s">
        <v>46</v>
      </c>
      <c r="E86" s="2" t="s">
        <v>437</v>
      </c>
      <c r="F86" s="2" t="s">
        <v>471</v>
      </c>
      <c r="G86" s="2" t="s">
        <v>592</v>
      </c>
    </row>
    <row r="87">
      <c r="A87" s="2" t="s">
        <v>597</v>
      </c>
      <c r="B87" s="2" t="s">
        <v>598</v>
      </c>
      <c r="C87" s="2" t="s">
        <v>44</v>
      </c>
      <c r="D87" s="2" t="s">
        <v>46</v>
      </c>
      <c r="E87" s="2" t="s">
        <v>482</v>
      </c>
      <c r="F87" s="2" t="s">
        <v>471</v>
      </c>
      <c r="G87" s="2" t="s">
        <v>592</v>
      </c>
    </row>
    <row r="88">
      <c r="A88" s="2" t="s">
        <v>599</v>
      </c>
      <c r="B88" s="2" t="s">
        <v>299</v>
      </c>
      <c r="C88" s="2" t="s">
        <v>44</v>
      </c>
      <c r="D88" s="2" t="s">
        <v>46</v>
      </c>
      <c r="E88" s="2" t="s">
        <v>470</v>
      </c>
      <c r="F88" s="2" t="s">
        <v>471</v>
      </c>
      <c r="G88" s="2" t="s">
        <v>296</v>
      </c>
      <c r="H88" s="2" t="s">
        <v>68</v>
      </c>
    </row>
    <row r="89">
      <c r="A89" s="2" t="s">
        <v>600</v>
      </c>
      <c r="B89" s="2" t="s">
        <v>299</v>
      </c>
      <c r="C89" s="2" t="s">
        <v>44</v>
      </c>
      <c r="D89" s="2" t="s">
        <v>46</v>
      </c>
      <c r="E89" s="2" t="s">
        <v>470</v>
      </c>
      <c r="F89" s="2" t="s">
        <v>471</v>
      </c>
      <c r="G89" s="2" t="s">
        <v>300</v>
      </c>
      <c r="H89" s="2" t="s">
        <v>75</v>
      </c>
    </row>
    <row r="90">
      <c r="A90" s="2" t="s">
        <v>601</v>
      </c>
      <c r="B90" s="2" t="s">
        <v>299</v>
      </c>
      <c r="C90" s="2" t="s">
        <v>44</v>
      </c>
      <c r="D90" s="2" t="s">
        <v>46</v>
      </c>
      <c r="E90" s="2" t="s">
        <v>470</v>
      </c>
      <c r="F90" s="2" t="s">
        <v>471</v>
      </c>
      <c r="G90" s="2" t="s">
        <v>301</v>
      </c>
      <c r="H90" s="2" t="s">
        <v>78</v>
      </c>
    </row>
    <row r="91">
      <c r="A91" s="2" t="s">
        <v>602</v>
      </c>
      <c r="B91" s="2" t="s">
        <v>299</v>
      </c>
      <c r="C91" s="2" t="s">
        <v>44</v>
      </c>
      <c r="D91" s="2" t="s">
        <v>46</v>
      </c>
      <c r="E91" s="2" t="s">
        <v>470</v>
      </c>
      <c r="F91" s="2" t="s">
        <v>471</v>
      </c>
      <c r="G91" s="2" t="s">
        <v>302</v>
      </c>
      <c r="H91" s="2" t="s">
        <v>81</v>
      </c>
    </row>
    <row r="92">
      <c r="A92" s="2" t="s">
        <v>603</v>
      </c>
      <c r="B92" s="2" t="s">
        <v>299</v>
      </c>
      <c r="C92" s="2" t="s">
        <v>44</v>
      </c>
      <c r="D92" s="2" t="s">
        <v>46</v>
      </c>
      <c r="E92" s="2" t="s">
        <v>470</v>
      </c>
      <c r="F92" s="2" t="s">
        <v>471</v>
      </c>
      <c r="G92" s="2" t="s">
        <v>303</v>
      </c>
      <c r="H92" s="2" t="s">
        <v>83</v>
      </c>
    </row>
    <row r="93">
      <c r="A93" s="2" t="s">
        <v>604</v>
      </c>
      <c r="B93" s="2" t="s">
        <v>299</v>
      </c>
      <c r="C93" s="2" t="s">
        <v>44</v>
      </c>
      <c r="D93" s="2" t="s">
        <v>46</v>
      </c>
      <c r="E93" s="2" t="s">
        <v>470</v>
      </c>
      <c r="F93" s="2" t="s">
        <v>471</v>
      </c>
      <c r="G93" s="2" t="s">
        <v>309</v>
      </c>
      <c r="H93" s="2" t="s">
        <v>86</v>
      </c>
    </row>
    <row r="94">
      <c r="A94" s="2" t="s">
        <v>605</v>
      </c>
      <c r="B94" s="2" t="s">
        <v>299</v>
      </c>
      <c r="C94" s="2" t="s">
        <v>44</v>
      </c>
      <c r="D94" s="2" t="s">
        <v>46</v>
      </c>
      <c r="E94" s="2" t="s">
        <v>470</v>
      </c>
      <c r="F94" s="2" t="s">
        <v>471</v>
      </c>
      <c r="G94" s="2" t="s">
        <v>314</v>
      </c>
      <c r="H94" s="2" t="s">
        <v>89</v>
      </c>
    </row>
    <row r="95">
      <c r="A95" s="2" t="s">
        <v>606</v>
      </c>
      <c r="B95" s="2" t="s">
        <v>299</v>
      </c>
      <c r="C95" s="2" t="s">
        <v>44</v>
      </c>
      <c r="D95" s="2" t="s">
        <v>46</v>
      </c>
      <c r="E95" s="2" t="s">
        <v>470</v>
      </c>
      <c r="F95" s="2" t="s">
        <v>471</v>
      </c>
      <c r="G95" s="2" t="s">
        <v>320</v>
      </c>
      <c r="H95" s="2" t="s">
        <v>91</v>
      </c>
    </row>
    <row r="96">
      <c r="A96" s="2" t="s">
        <v>607</v>
      </c>
      <c r="B96" s="2" t="s">
        <v>299</v>
      </c>
      <c r="C96" s="2" t="s">
        <v>44</v>
      </c>
      <c r="D96" s="2" t="s">
        <v>46</v>
      </c>
      <c r="E96" s="2" t="s">
        <v>470</v>
      </c>
      <c r="F96" s="2" t="s">
        <v>471</v>
      </c>
      <c r="G96" s="2" t="s">
        <v>321</v>
      </c>
      <c r="H96" s="2" t="s">
        <v>94</v>
      </c>
    </row>
    <row r="97">
      <c r="A97" s="2" t="s">
        <v>608</v>
      </c>
      <c r="B97" s="2" t="s">
        <v>299</v>
      </c>
      <c r="C97" s="2" t="s">
        <v>44</v>
      </c>
      <c r="D97" s="2" t="s">
        <v>46</v>
      </c>
      <c r="E97" s="2" t="s">
        <v>470</v>
      </c>
      <c r="F97" s="2" t="s">
        <v>471</v>
      </c>
      <c r="G97" s="2" t="s">
        <v>325</v>
      </c>
      <c r="H97" s="2" t="s">
        <v>98</v>
      </c>
    </row>
    <row r="98">
      <c r="A98" s="2" t="s">
        <v>609</v>
      </c>
      <c r="B98" s="2" t="s">
        <v>299</v>
      </c>
      <c r="C98" s="2" t="s">
        <v>44</v>
      </c>
      <c r="D98" s="2" t="s">
        <v>46</v>
      </c>
      <c r="E98" s="2" t="s">
        <v>470</v>
      </c>
      <c r="F98" s="2" t="s">
        <v>471</v>
      </c>
      <c r="G98" s="2" t="s">
        <v>334</v>
      </c>
      <c r="H98" s="2" t="s">
        <v>100</v>
      </c>
    </row>
    <row r="99">
      <c r="A99" s="2" t="s">
        <v>610</v>
      </c>
      <c r="B99" s="2" t="s">
        <v>299</v>
      </c>
      <c r="C99" s="2" t="s">
        <v>44</v>
      </c>
      <c r="D99" s="2" t="s">
        <v>46</v>
      </c>
      <c r="E99" s="2" t="s">
        <v>470</v>
      </c>
      <c r="F99" s="2" t="s">
        <v>471</v>
      </c>
      <c r="G99" s="2" t="s">
        <v>343</v>
      </c>
      <c r="H99" s="2" t="s">
        <v>103</v>
      </c>
    </row>
    <row r="100">
      <c r="A100" s="2" t="s">
        <v>611</v>
      </c>
      <c r="B100" s="2" t="s">
        <v>299</v>
      </c>
      <c r="C100" s="2" t="s">
        <v>44</v>
      </c>
      <c r="D100" s="2" t="s">
        <v>46</v>
      </c>
      <c r="E100" s="2" t="s">
        <v>470</v>
      </c>
      <c r="F100" s="2" t="s">
        <v>471</v>
      </c>
      <c r="G100" s="2" t="s">
        <v>344</v>
      </c>
      <c r="H100" s="2" t="s">
        <v>106</v>
      </c>
    </row>
    <row r="101">
      <c r="A101" s="2" t="s">
        <v>612</v>
      </c>
      <c r="B101" s="2" t="s">
        <v>299</v>
      </c>
      <c r="C101" s="2" t="s">
        <v>44</v>
      </c>
      <c r="D101" s="2" t="s">
        <v>46</v>
      </c>
      <c r="E101" s="2" t="s">
        <v>470</v>
      </c>
      <c r="F101" s="2" t="s">
        <v>471</v>
      </c>
      <c r="G101" s="2" t="s">
        <v>345</v>
      </c>
      <c r="H101" s="2" t="s">
        <v>111</v>
      </c>
    </row>
    <row r="102">
      <c r="A102" s="2" t="s">
        <v>613</v>
      </c>
      <c r="B102" s="2" t="s">
        <v>299</v>
      </c>
      <c r="C102" s="2" t="s">
        <v>44</v>
      </c>
      <c r="D102" s="2" t="s">
        <v>46</v>
      </c>
      <c r="E102" s="2" t="s">
        <v>470</v>
      </c>
      <c r="F102" s="2" t="s">
        <v>471</v>
      </c>
      <c r="G102" s="2" t="s">
        <v>346</v>
      </c>
      <c r="H102" s="2" t="s">
        <v>113</v>
      </c>
    </row>
    <row r="103">
      <c r="A103" s="2" t="s">
        <v>614</v>
      </c>
      <c r="B103" s="2" t="s">
        <v>299</v>
      </c>
      <c r="C103" s="2" t="s">
        <v>44</v>
      </c>
      <c r="D103" s="2" t="s">
        <v>46</v>
      </c>
      <c r="E103" s="2" t="s">
        <v>470</v>
      </c>
      <c r="F103" s="2" t="s">
        <v>471</v>
      </c>
      <c r="G103" s="2" t="s">
        <v>347</v>
      </c>
      <c r="H103" s="2" t="s">
        <v>37</v>
      </c>
    </row>
    <row r="104">
      <c r="A104" s="2" t="s">
        <v>615</v>
      </c>
      <c r="B104" s="2" t="s">
        <v>299</v>
      </c>
      <c r="C104" s="2" t="s">
        <v>44</v>
      </c>
      <c r="D104" s="2" t="s">
        <v>46</v>
      </c>
      <c r="E104" s="2" t="s">
        <v>470</v>
      </c>
      <c r="F104" s="2" t="s">
        <v>471</v>
      </c>
      <c r="G104" s="2" t="s">
        <v>350</v>
      </c>
      <c r="H104" s="2" t="s">
        <v>116</v>
      </c>
    </row>
    <row r="105">
      <c r="A105" s="2" t="s">
        <v>616</v>
      </c>
      <c r="B105" s="2" t="s">
        <v>299</v>
      </c>
      <c r="C105" s="2" t="s">
        <v>44</v>
      </c>
      <c r="D105" s="2" t="s">
        <v>46</v>
      </c>
      <c r="E105" s="2" t="s">
        <v>470</v>
      </c>
      <c r="F105" s="2" t="s">
        <v>471</v>
      </c>
      <c r="G105" s="2" t="s">
        <v>355</v>
      </c>
      <c r="H105" s="2" t="s">
        <v>118</v>
      </c>
    </row>
    <row r="106">
      <c r="A106" s="2" t="s">
        <v>617</v>
      </c>
      <c r="B106" s="2" t="s">
        <v>299</v>
      </c>
      <c r="C106" s="2" t="s">
        <v>44</v>
      </c>
      <c r="D106" s="2" t="s">
        <v>46</v>
      </c>
      <c r="E106" s="2" t="s">
        <v>470</v>
      </c>
      <c r="F106" s="2" t="s">
        <v>471</v>
      </c>
      <c r="G106" s="2" t="s">
        <v>356</v>
      </c>
      <c r="H106" s="2" t="s">
        <v>28</v>
      </c>
    </row>
    <row r="107">
      <c r="A107" s="2" t="s">
        <v>618</v>
      </c>
      <c r="B107" s="2" t="s">
        <v>299</v>
      </c>
      <c r="C107" s="2" t="s">
        <v>44</v>
      </c>
      <c r="D107" s="2" t="s">
        <v>46</v>
      </c>
      <c r="E107" s="2" t="s">
        <v>470</v>
      </c>
      <c r="F107" s="2" t="s">
        <v>471</v>
      </c>
      <c r="G107" s="2" t="s">
        <v>357</v>
      </c>
      <c r="H107" s="2" t="s">
        <v>124</v>
      </c>
    </row>
    <row r="108">
      <c r="A108" s="2" t="s">
        <v>619</v>
      </c>
      <c r="B108" s="2" t="s">
        <v>299</v>
      </c>
      <c r="C108" s="2" t="s">
        <v>44</v>
      </c>
      <c r="D108" s="2" t="s">
        <v>46</v>
      </c>
      <c r="E108" s="2" t="s">
        <v>470</v>
      </c>
      <c r="F108" s="2" t="s">
        <v>471</v>
      </c>
      <c r="G108" s="2" t="s">
        <v>362</v>
      </c>
      <c r="H108" s="2" t="s">
        <v>132</v>
      </c>
    </row>
    <row r="109">
      <c r="A109" s="2" t="s">
        <v>620</v>
      </c>
      <c r="B109" s="2" t="s">
        <v>299</v>
      </c>
      <c r="C109" s="2" t="s">
        <v>44</v>
      </c>
      <c r="D109" s="2" t="s">
        <v>46</v>
      </c>
      <c r="E109" s="2" t="s">
        <v>470</v>
      </c>
      <c r="F109" s="2" t="s">
        <v>471</v>
      </c>
      <c r="G109" s="2" t="s">
        <v>364</v>
      </c>
      <c r="H109" s="2" t="s">
        <v>134</v>
      </c>
    </row>
    <row r="110">
      <c r="A110" s="2" t="s">
        <v>621</v>
      </c>
      <c r="B110" s="2" t="s">
        <v>299</v>
      </c>
      <c r="C110" s="2" t="s">
        <v>44</v>
      </c>
      <c r="D110" s="2" t="s">
        <v>46</v>
      </c>
      <c r="E110" s="2" t="s">
        <v>470</v>
      </c>
      <c r="F110" s="2" t="s">
        <v>471</v>
      </c>
      <c r="G110" s="2" t="s">
        <v>365</v>
      </c>
      <c r="H110" s="2" t="s">
        <v>136</v>
      </c>
    </row>
    <row r="111">
      <c r="A111" s="2" t="s">
        <v>622</v>
      </c>
      <c r="B111" s="2" t="s">
        <v>299</v>
      </c>
      <c r="C111" s="2" t="s">
        <v>44</v>
      </c>
      <c r="D111" s="2" t="s">
        <v>46</v>
      </c>
      <c r="E111" s="2" t="s">
        <v>470</v>
      </c>
      <c r="F111" s="2" t="s">
        <v>471</v>
      </c>
      <c r="G111" s="2" t="s">
        <v>366</v>
      </c>
      <c r="H111" s="2" t="s">
        <v>138</v>
      </c>
    </row>
    <row r="112">
      <c r="A112" s="2" t="s">
        <v>623</v>
      </c>
      <c r="B112" s="2" t="s">
        <v>299</v>
      </c>
      <c r="C112" s="2" t="s">
        <v>44</v>
      </c>
      <c r="D112" s="2" t="s">
        <v>46</v>
      </c>
      <c r="E112" s="2" t="s">
        <v>470</v>
      </c>
      <c r="F112" s="2" t="s">
        <v>471</v>
      </c>
      <c r="G112" s="2" t="s">
        <v>368</v>
      </c>
      <c r="H112" s="2" t="s">
        <v>141</v>
      </c>
    </row>
    <row r="113">
      <c r="A113" s="2" t="s">
        <v>624</v>
      </c>
      <c r="B113" s="2" t="s">
        <v>299</v>
      </c>
      <c r="C113" s="2" t="s">
        <v>44</v>
      </c>
      <c r="D113" s="2" t="s">
        <v>46</v>
      </c>
      <c r="E113" s="2" t="s">
        <v>470</v>
      </c>
      <c r="F113" s="2" t="s">
        <v>471</v>
      </c>
      <c r="G113" s="2" t="s">
        <v>369</v>
      </c>
      <c r="H113" s="2" t="s">
        <v>143</v>
      </c>
    </row>
    <row r="114">
      <c r="A114" s="2" t="s">
        <v>625</v>
      </c>
      <c r="B114" s="2" t="s">
        <v>299</v>
      </c>
      <c r="C114" s="2" t="s">
        <v>44</v>
      </c>
      <c r="D114" s="2" t="s">
        <v>46</v>
      </c>
      <c r="E114" s="2" t="s">
        <v>470</v>
      </c>
      <c r="F114" s="2" t="s">
        <v>471</v>
      </c>
      <c r="G114" s="2" t="s">
        <v>370</v>
      </c>
      <c r="H114" s="2" t="s">
        <v>146</v>
      </c>
    </row>
    <row r="115">
      <c r="A115" s="2" t="s">
        <v>626</v>
      </c>
      <c r="B115" s="2" t="s">
        <v>299</v>
      </c>
      <c r="C115" s="2" t="s">
        <v>44</v>
      </c>
      <c r="D115" s="2" t="s">
        <v>46</v>
      </c>
      <c r="E115" s="2" t="s">
        <v>470</v>
      </c>
      <c r="F115" s="2" t="s">
        <v>471</v>
      </c>
      <c r="G115" s="2" t="s">
        <v>371</v>
      </c>
      <c r="H115" s="2" t="s">
        <v>148</v>
      </c>
    </row>
    <row r="116">
      <c r="A116" s="2" t="s">
        <v>627</v>
      </c>
      <c r="B116" s="2" t="s">
        <v>628</v>
      </c>
      <c r="C116" s="2" t="s">
        <v>44</v>
      </c>
      <c r="D116" s="2" t="s">
        <v>46</v>
      </c>
      <c r="E116" s="2" t="s">
        <v>397</v>
      </c>
      <c r="F116" s="2" t="s">
        <v>538</v>
      </c>
      <c r="G116" s="2" t="s">
        <v>197</v>
      </c>
      <c r="H116" s="2" t="s">
        <v>68</v>
      </c>
    </row>
    <row r="117">
      <c r="A117" s="2" t="s">
        <v>629</v>
      </c>
      <c r="B117" s="2" t="s">
        <v>630</v>
      </c>
      <c r="C117" s="2" t="s">
        <v>44</v>
      </c>
      <c r="D117" s="2" t="s">
        <v>46</v>
      </c>
      <c r="E117" s="2" t="s">
        <v>397</v>
      </c>
      <c r="F117" s="2" t="s">
        <v>538</v>
      </c>
      <c r="G117" s="2" t="s">
        <v>200</v>
      </c>
      <c r="H117" s="2" t="s">
        <v>83</v>
      </c>
    </row>
    <row r="118">
      <c r="A118" s="2" t="s">
        <v>631</v>
      </c>
      <c r="B118" s="2" t="s">
        <v>632</v>
      </c>
      <c r="C118" s="2" t="s">
        <v>44</v>
      </c>
      <c r="D118" s="2" t="s">
        <v>46</v>
      </c>
      <c r="E118" s="2" t="s">
        <v>397</v>
      </c>
      <c r="F118" s="2" t="s">
        <v>538</v>
      </c>
      <c r="G118" s="2" t="s">
        <v>203</v>
      </c>
      <c r="H118" s="2" t="s">
        <v>75</v>
      </c>
    </row>
    <row r="119">
      <c r="A119" s="2" t="s">
        <v>633</v>
      </c>
      <c r="B119" s="2" t="s">
        <v>634</v>
      </c>
      <c r="C119" s="2" t="s">
        <v>44</v>
      </c>
      <c r="D119" s="2" t="s">
        <v>46</v>
      </c>
      <c r="E119" s="2" t="s">
        <v>397</v>
      </c>
      <c r="F119" s="2" t="s">
        <v>538</v>
      </c>
      <c r="G119" s="2" t="s">
        <v>206</v>
      </c>
      <c r="H119" s="2" t="s">
        <v>146</v>
      </c>
    </row>
    <row r="120">
      <c r="A120" s="2" t="s">
        <v>635</v>
      </c>
      <c r="B120" s="2" t="s">
        <v>636</v>
      </c>
      <c r="C120" s="2" t="s">
        <v>44</v>
      </c>
      <c r="D120" s="2" t="s">
        <v>46</v>
      </c>
      <c r="E120" s="2" t="s">
        <v>397</v>
      </c>
      <c r="F120" s="2" t="s">
        <v>538</v>
      </c>
      <c r="G120" s="2" t="s">
        <v>209</v>
      </c>
      <c r="H120" s="2" t="s">
        <v>148</v>
      </c>
    </row>
    <row r="121">
      <c r="A121" s="2" t="s">
        <v>637</v>
      </c>
      <c r="B121" s="2" t="s">
        <v>638</v>
      </c>
      <c r="C121" s="2" t="s">
        <v>44</v>
      </c>
      <c r="D121" s="2" t="s">
        <v>46</v>
      </c>
      <c r="E121" s="2" t="s">
        <v>397</v>
      </c>
      <c r="F121" s="2" t="s">
        <v>576</v>
      </c>
      <c r="G121" s="2" t="s">
        <v>237</v>
      </c>
      <c r="H121" s="2" t="s">
        <v>68</v>
      </c>
    </row>
    <row r="122">
      <c r="A122" s="2" t="s">
        <v>639</v>
      </c>
      <c r="B122" s="2" t="s">
        <v>640</v>
      </c>
      <c r="C122" s="2" t="s">
        <v>44</v>
      </c>
      <c r="D122" s="2" t="s">
        <v>46</v>
      </c>
      <c r="E122" s="2" t="s">
        <v>397</v>
      </c>
      <c r="F122" s="2" t="s">
        <v>576</v>
      </c>
      <c r="G122" s="2" t="s">
        <v>240</v>
      </c>
      <c r="H122" s="2" t="s">
        <v>83</v>
      </c>
    </row>
    <row r="123">
      <c r="A123" s="2" t="s">
        <v>641</v>
      </c>
      <c r="B123" s="2" t="s">
        <v>642</v>
      </c>
      <c r="C123" s="2" t="s">
        <v>44</v>
      </c>
      <c r="D123" s="2" t="s">
        <v>46</v>
      </c>
      <c r="E123" s="2" t="s">
        <v>397</v>
      </c>
      <c r="F123" s="2" t="s">
        <v>576</v>
      </c>
      <c r="G123" s="2" t="s">
        <v>246</v>
      </c>
      <c r="H123" s="2" t="s">
        <v>75</v>
      </c>
    </row>
    <row r="124">
      <c r="A124" s="2" t="s">
        <v>643</v>
      </c>
      <c r="B124" s="2" t="s">
        <v>644</v>
      </c>
      <c r="C124" s="2" t="s">
        <v>44</v>
      </c>
      <c r="D124" s="2" t="s">
        <v>46</v>
      </c>
      <c r="E124" s="2" t="s">
        <v>397</v>
      </c>
      <c r="F124" s="2" t="s">
        <v>576</v>
      </c>
      <c r="G124" s="2" t="s">
        <v>250</v>
      </c>
      <c r="H124" s="2" t="s">
        <v>146</v>
      </c>
    </row>
    <row r="125">
      <c r="A125" s="2" t="s">
        <v>645</v>
      </c>
      <c r="B125" s="2" t="s">
        <v>646</v>
      </c>
      <c r="C125" s="2" t="s">
        <v>44</v>
      </c>
      <c r="D125" s="2" t="s">
        <v>46</v>
      </c>
      <c r="E125" s="2" t="s">
        <v>397</v>
      </c>
      <c r="F125" s="2" t="s">
        <v>576</v>
      </c>
      <c r="G125" s="2" t="s">
        <v>252</v>
      </c>
      <c r="H125" s="2" t="s">
        <v>148</v>
      </c>
    </row>
    <row r="126">
      <c r="A126" s="2" t="s">
        <v>647</v>
      </c>
      <c r="B126" s="2" t="s">
        <v>648</v>
      </c>
      <c r="C126" s="2" t="s">
        <v>44</v>
      </c>
      <c r="D126" s="2" t="s">
        <v>46</v>
      </c>
      <c r="E126" s="2" t="s">
        <v>437</v>
      </c>
      <c r="F126" s="2" t="s">
        <v>471</v>
      </c>
      <c r="G126" s="2" t="s">
        <v>296</v>
      </c>
    </row>
    <row r="127">
      <c r="A127" s="2" t="s">
        <v>649</v>
      </c>
      <c r="B127" s="2" t="s">
        <v>650</v>
      </c>
      <c r="C127" s="2" t="s">
        <v>44</v>
      </c>
      <c r="D127" s="2" t="s">
        <v>46</v>
      </c>
      <c r="E127" s="2" t="s">
        <v>437</v>
      </c>
      <c r="F127" s="2" t="s">
        <v>471</v>
      </c>
      <c r="G127" s="2" t="s">
        <v>303</v>
      </c>
    </row>
    <row r="128">
      <c r="A128" s="2" t="s">
        <v>651</v>
      </c>
      <c r="B128" s="2" t="s">
        <v>652</v>
      </c>
      <c r="C128" s="2" t="s">
        <v>44</v>
      </c>
      <c r="D128" s="2" t="s">
        <v>46</v>
      </c>
      <c r="E128" s="2" t="s">
        <v>437</v>
      </c>
      <c r="F128" s="2" t="s">
        <v>471</v>
      </c>
      <c r="G128" s="2" t="s">
        <v>314</v>
      </c>
    </row>
    <row r="129">
      <c r="A129" s="2" t="s">
        <v>653</v>
      </c>
      <c r="B129" s="2" t="s">
        <v>654</v>
      </c>
      <c r="C129" s="2" t="s">
        <v>44</v>
      </c>
      <c r="D129" s="2" t="s">
        <v>46</v>
      </c>
      <c r="E129" s="2" t="s">
        <v>437</v>
      </c>
      <c r="F129" s="2" t="s">
        <v>471</v>
      </c>
      <c r="G129" s="2" t="s">
        <v>300</v>
      </c>
    </row>
    <row r="130">
      <c r="A130" s="2" t="s">
        <v>655</v>
      </c>
      <c r="B130" s="2" t="s">
        <v>656</v>
      </c>
      <c r="C130" s="2" t="s">
        <v>44</v>
      </c>
      <c r="D130" s="2" t="s">
        <v>46</v>
      </c>
      <c r="E130" s="2" t="s">
        <v>437</v>
      </c>
      <c r="F130" s="2" t="s">
        <v>471</v>
      </c>
      <c r="G130" s="2" t="s">
        <v>346</v>
      </c>
    </row>
    <row r="131">
      <c r="A131" s="2" t="s">
        <v>657</v>
      </c>
      <c r="B131" s="2" t="s">
        <v>658</v>
      </c>
      <c r="C131" s="2" t="s">
        <v>44</v>
      </c>
      <c r="D131" s="2" t="s">
        <v>46</v>
      </c>
      <c r="E131" s="2" t="s">
        <v>437</v>
      </c>
      <c r="F131" s="2" t="s">
        <v>471</v>
      </c>
      <c r="G131" s="2" t="s">
        <v>370</v>
      </c>
    </row>
    <row r="132">
      <c r="A132" s="2" t="s">
        <v>659</v>
      </c>
      <c r="B132" s="2" t="s">
        <v>660</v>
      </c>
      <c r="C132" s="2" t="s">
        <v>44</v>
      </c>
      <c r="D132" s="2" t="s">
        <v>46</v>
      </c>
      <c r="E132" s="2" t="s">
        <v>437</v>
      </c>
      <c r="F132" s="2" t="s">
        <v>471</v>
      </c>
      <c r="G132" s="2" t="s">
        <v>371</v>
      </c>
    </row>
    <row r="133">
      <c r="A133" s="2" t="s">
        <v>661</v>
      </c>
      <c r="B133" s="2" t="s">
        <v>662</v>
      </c>
      <c r="C133" s="2" t="s">
        <v>44</v>
      </c>
      <c r="D133" s="2" t="s">
        <v>46</v>
      </c>
      <c r="E133" s="2" t="s">
        <v>397</v>
      </c>
      <c r="F133" s="2" t="s">
        <v>576</v>
      </c>
      <c r="G133" s="2" t="s">
        <v>254</v>
      </c>
      <c r="H133" s="2" t="s">
        <v>89</v>
      </c>
    </row>
    <row r="134">
      <c r="A134" s="2" t="s">
        <v>663</v>
      </c>
      <c r="B134" s="2" t="s">
        <v>664</v>
      </c>
      <c r="C134" s="2" t="s">
        <v>44</v>
      </c>
      <c r="D134" s="2" t="s">
        <v>46</v>
      </c>
      <c r="E134" s="2" t="s">
        <v>397</v>
      </c>
      <c r="F134" s="2" t="s">
        <v>538</v>
      </c>
      <c r="G134" s="2" t="s">
        <v>212</v>
      </c>
      <c r="H134" s="2" t="s">
        <v>111</v>
      </c>
    </row>
    <row r="135">
      <c r="A135" s="2" t="s">
        <v>665</v>
      </c>
      <c r="B135" s="2" t="s">
        <v>666</v>
      </c>
      <c r="C135" s="2" t="s">
        <v>44</v>
      </c>
      <c r="D135" s="2" t="s">
        <v>46</v>
      </c>
      <c r="E135" s="2" t="s">
        <v>437</v>
      </c>
      <c r="F135" s="2" t="s">
        <v>538</v>
      </c>
      <c r="G135" s="2" t="s">
        <v>212</v>
      </c>
      <c r="H135" s="2" t="s">
        <v>111</v>
      </c>
    </row>
    <row r="136">
      <c r="A136" s="2" t="s">
        <v>667</v>
      </c>
      <c r="B136" s="2" t="s">
        <v>668</v>
      </c>
      <c r="C136" s="2" t="s">
        <v>44</v>
      </c>
      <c r="D136" s="2" t="s">
        <v>46</v>
      </c>
      <c r="E136" s="2" t="s">
        <v>397</v>
      </c>
      <c r="F136" s="2" t="s">
        <v>576</v>
      </c>
      <c r="G136" s="2" t="s">
        <v>256</v>
      </c>
      <c r="H136" s="2" t="s">
        <v>111</v>
      </c>
    </row>
    <row r="137">
      <c r="A137" s="2" t="s">
        <v>669</v>
      </c>
      <c r="B137" s="2" t="s">
        <v>670</v>
      </c>
      <c r="C137" s="2" t="s">
        <v>44</v>
      </c>
      <c r="D137" s="2" t="s">
        <v>46</v>
      </c>
      <c r="E137" s="2" t="s">
        <v>437</v>
      </c>
      <c r="F137" s="2" t="s">
        <v>471</v>
      </c>
      <c r="G137" s="2" t="s">
        <v>345</v>
      </c>
    </row>
    <row r="138">
      <c r="A138" s="2" t="s">
        <v>671</v>
      </c>
      <c r="B138" s="2" t="s">
        <v>672</v>
      </c>
      <c r="C138" s="2" t="s">
        <v>44</v>
      </c>
      <c r="D138" s="2" t="s">
        <v>46</v>
      </c>
      <c r="E138" s="2" t="s">
        <v>485</v>
      </c>
      <c r="F138" s="2" t="s">
        <v>110</v>
      </c>
      <c r="G138" s="2" t="s">
        <v>107</v>
      </c>
      <c r="H138" s="2" t="s">
        <v>673</v>
      </c>
    </row>
    <row r="139">
      <c r="A139" s="2" t="s">
        <v>674</v>
      </c>
      <c r="B139" s="2" t="s">
        <v>675</v>
      </c>
      <c r="C139" s="2" t="s">
        <v>44</v>
      </c>
      <c r="D139" s="2" t="s">
        <v>46</v>
      </c>
      <c r="E139" s="2" t="s">
        <v>485</v>
      </c>
      <c r="F139" s="2" t="s">
        <v>126</v>
      </c>
      <c r="G139" s="2" t="s">
        <v>125</v>
      </c>
      <c r="H139" s="2" t="s">
        <v>527</v>
      </c>
    </row>
    <row r="140">
      <c r="A140" s="2" t="s">
        <v>676</v>
      </c>
      <c r="B140" s="2" t="s">
        <v>677</v>
      </c>
      <c r="C140" s="2" t="s">
        <v>44</v>
      </c>
      <c r="D140" s="2" t="s">
        <v>46</v>
      </c>
      <c r="E140" s="2" t="s">
        <v>485</v>
      </c>
      <c r="F140" s="2" t="s">
        <v>130</v>
      </c>
      <c r="G140" s="2" t="s">
        <v>128</v>
      </c>
      <c r="H140" s="2" t="s">
        <v>530</v>
      </c>
    </row>
    <row r="141">
      <c r="A141" s="2" t="s">
        <v>678</v>
      </c>
      <c r="B141" s="2" t="s">
        <v>679</v>
      </c>
      <c r="C141" s="2" t="s">
        <v>44</v>
      </c>
      <c r="D141" s="2" t="s">
        <v>46</v>
      </c>
      <c r="E141" s="2" t="s">
        <v>397</v>
      </c>
      <c r="F141" s="2" t="s">
        <v>538</v>
      </c>
      <c r="G141" s="2" t="s">
        <v>215</v>
      </c>
      <c r="H141" s="2" t="s">
        <v>91</v>
      </c>
    </row>
    <row r="142">
      <c r="A142" s="2" t="s">
        <v>680</v>
      </c>
      <c r="B142" s="2" t="s">
        <v>681</v>
      </c>
      <c r="C142" s="2" t="s">
        <v>44</v>
      </c>
      <c r="D142" s="2" t="s">
        <v>46</v>
      </c>
      <c r="E142" s="2" t="s">
        <v>397</v>
      </c>
      <c r="F142" s="2" t="s">
        <v>538</v>
      </c>
      <c r="G142" s="2" t="s">
        <v>217</v>
      </c>
      <c r="H142" s="2" t="s">
        <v>143</v>
      </c>
    </row>
    <row r="143">
      <c r="A143" s="2" t="s">
        <v>682</v>
      </c>
      <c r="B143" s="2" t="s">
        <v>683</v>
      </c>
      <c r="C143" s="2" t="s">
        <v>44</v>
      </c>
      <c r="D143" s="2" t="s">
        <v>46</v>
      </c>
      <c r="E143" s="2" t="s">
        <v>397</v>
      </c>
      <c r="F143" s="2" t="s">
        <v>576</v>
      </c>
      <c r="G143" s="2" t="s">
        <v>258</v>
      </c>
      <c r="H143" s="2" t="s">
        <v>91</v>
      </c>
    </row>
    <row r="144">
      <c r="A144" s="2" t="s">
        <v>684</v>
      </c>
      <c r="B144" s="2" t="s">
        <v>685</v>
      </c>
      <c r="C144" s="2" t="s">
        <v>44</v>
      </c>
      <c r="D144" s="2" t="s">
        <v>46</v>
      </c>
      <c r="E144" s="2" t="s">
        <v>397</v>
      </c>
      <c r="F144" s="2" t="s">
        <v>576</v>
      </c>
      <c r="G144" s="2" t="s">
        <v>260</v>
      </c>
      <c r="H144" s="2" t="s">
        <v>143</v>
      </c>
    </row>
    <row r="145">
      <c r="A145" s="2" t="s">
        <v>686</v>
      </c>
      <c r="B145" s="2" t="s">
        <v>687</v>
      </c>
      <c r="C145" s="2" t="s">
        <v>44</v>
      </c>
      <c r="D145" s="2" t="s">
        <v>46</v>
      </c>
      <c r="E145" s="2" t="s">
        <v>437</v>
      </c>
      <c r="F145" s="2" t="s">
        <v>471</v>
      </c>
      <c r="G145" s="2" t="s">
        <v>369</v>
      </c>
    </row>
    <row r="146">
      <c r="A146" s="2" t="s">
        <v>688</v>
      </c>
      <c r="B146" s="2" t="s">
        <v>689</v>
      </c>
      <c r="C146" s="2" t="s">
        <v>44</v>
      </c>
      <c r="D146" s="2" t="s">
        <v>46</v>
      </c>
      <c r="E146" s="2" t="s">
        <v>437</v>
      </c>
      <c r="F146" s="2" t="s">
        <v>471</v>
      </c>
      <c r="G146" s="2" t="s">
        <v>320</v>
      </c>
    </row>
    <row r="147">
      <c r="A147" s="2" t="s">
        <v>690</v>
      </c>
      <c r="B147" s="2" t="s">
        <v>691</v>
      </c>
      <c r="C147" s="2" t="s">
        <v>44</v>
      </c>
      <c r="D147" s="2" t="s">
        <v>46</v>
      </c>
      <c r="E147" s="2" t="s">
        <v>437</v>
      </c>
      <c r="F147" s="2" t="s">
        <v>471</v>
      </c>
      <c r="G147" s="2" t="s">
        <v>309</v>
      </c>
    </row>
    <row r="148">
      <c r="A148" s="2" t="s">
        <v>692</v>
      </c>
      <c r="B148" s="2" t="s">
        <v>693</v>
      </c>
      <c r="C148" s="2" t="s">
        <v>44</v>
      </c>
      <c r="D148" s="2" t="s">
        <v>46</v>
      </c>
      <c r="E148" s="2" t="s">
        <v>437</v>
      </c>
      <c r="F148" s="2" t="s">
        <v>471</v>
      </c>
      <c r="G148" s="2" t="s">
        <v>309</v>
      </c>
    </row>
    <row r="149">
      <c r="A149" s="2" t="s">
        <v>694</v>
      </c>
      <c r="B149" s="2" t="s">
        <v>695</v>
      </c>
      <c r="C149" s="2" t="s">
        <v>44</v>
      </c>
      <c r="D149" s="2" t="s">
        <v>46</v>
      </c>
      <c r="E149" s="2" t="s">
        <v>437</v>
      </c>
      <c r="F149" s="2" t="s">
        <v>471</v>
      </c>
      <c r="G149" s="2" t="s">
        <v>362</v>
      </c>
    </row>
    <row r="150">
      <c r="A150" s="2" t="s">
        <v>696</v>
      </c>
      <c r="B150" s="2" t="s">
        <v>697</v>
      </c>
      <c r="C150" s="2" t="s">
        <v>44</v>
      </c>
      <c r="D150" s="2" t="s">
        <v>46</v>
      </c>
      <c r="E150" s="2" t="s">
        <v>437</v>
      </c>
      <c r="F150" s="2" t="s">
        <v>471</v>
      </c>
      <c r="G150" s="2" t="s">
        <v>364</v>
      </c>
    </row>
    <row r="151">
      <c r="A151" s="2" t="s">
        <v>698</v>
      </c>
      <c r="B151" s="2" t="s">
        <v>699</v>
      </c>
      <c r="C151" s="2" t="s">
        <v>27</v>
      </c>
      <c r="D151" s="2" t="s">
        <v>29</v>
      </c>
      <c r="E151" s="2" t="s">
        <v>437</v>
      </c>
      <c r="F151" s="2" t="s">
        <v>401</v>
      </c>
      <c r="G151" s="2" t="s">
        <v>105</v>
      </c>
    </row>
    <row r="152">
      <c r="A152" s="2" t="s">
        <v>700</v>
      </c>
      <c r="B152" s="2" t="s">
        <v>701</v>
      </c>
      <c r="C152" s="2" t="s">
        <v>27</v>
      </c>
      <c r="D152" s="2" t="s">
        <v>29</v>
      </c>
      <c r="E152" s="2" t="s">
        <v>437</v>
      </c>
      <c r="F152" s="2" t="s">
        <v>401</v>
      </c>
      <c r="G152" s="2" t="s">
        <v>144</v>
      </c>
    </row>
    <row r="153">
      <c r="A153" s="2" t="s">
        <v>702</v>
      </c>
      <c r="B153" s="2" t="s">
        <v>703</v>
      </c>
      <c r="C153" s="2" t="s">
        <v>44</v>
      </c>
      <c r="D153" s="2" t="s">
        <v>46</v>
      </c>
      <c r="E153" s="2" t="s">
        <v>437</v>
      </c>
      <c r="F153" s="2" t="s">
        <v>401</v>
      </c>
      <c r="G153" s="2" t="s">
        <v>140</v>
      </c>
    </row>
    <row r="154">
      <c r="A154" s="2" t="s">
        <v>704</v>
      </c>
      <c r="B154" s="2" t="s">
        <v>705</v>
      </c>
      <c r="C154" s="2" t="s">
        <v>44</v>
      </c>
      <c r="D154" s="2" t="s">
        <v>46</v>
      </c>
      <c r="E154" s="2" t="s">
        <v>437</v>
      </c>
      <c r="F154" s="2" t="s">
        <v>401</v>
      </c>
      <c r="G154" s="2" t="s">
        <v>140</v>
      </c>
    </row>
    <row r="155">
      <c r="A155" s="2" t="s">
        <v>706</v>
      </c>
      <c r="B155" s="2" t="s">
        <v>707</v>
      </c>
      <c r="C155" s="2" t="s">
        <v>44</v>
      </c>
      <c r="D155" s="2" t="s">
        <v>46</v>
      </c>
      <c r="E155" s="2" t="s">
        <v>397</v>
      </c>
      <c r="F155" s="2" t="s">
        <v>538</v>
      </c>
      <c r="G155" s="2" t="s">
        <v>220</v>
      </c>
      <c r="H155" s="2" t="s">
        <v>106</v>
      </c>
    </row>
    <row r="156">
      <c r="A156" s="2" t="s">
        <v>708</v>
      </c>
      <c r="B156" s="2" t="s">
        <v>709</v>
      </c>
      <c r="C156" s="2" t="s">
        <v>44</v>
      </c>
      <c r="D156" s="2" t="s">
        <v>46</v>
      </c>
      <c r="E156" s="2" t="s">
        <v>397</v>
      </c>
      <c r="F156" s="2" t="s">
        <v>538</v>
      </c>
      <c r="G156" s="2" t="s">
        <v>222</v>
      </c>
      <c r="H156" s="2" t="s">
        <v>100</v>
      </c>
    </row>
    <row r="157">
      <c r="A157" s="2" t="s">
        <v>710</v>
      </c>
      <c r="B157" s="2" t="s">
        <v>711</v>
      </c>
      <c r="C157" s="2" t="s">
        <v>44</v>
      </c>
      <c r="D157" s="2" t="s">
        <v>46</v>
      </c>
      <c r="E157" s="2" t="s">
        <v>397</v>
      </c>
      <c r="F157" s="2" t="s">
        <v>538</v>
      </c>
      <c r="G157" s="2" t="s">
        <v>225</v>
      </c>
      <c r="H157" s="2" t="s">
        <v>81</v>
      </c>
    </row>
    <row r="158">
      <c r="A158" s="2" t="s">
        <v>712</v>
      </c>
      <c r="B158" s="2" t="s">
        <v>713</v>
      </c>
      <c r="C158" s="2" t="s">
        <v>44</v>
      </c>
      <c r="D158" s="2" t="s">
        <v>46</v>
      </c>
      <c r="E158" s="2" t="s">
        <v>397</v>
      </c>
      <c r="F158" s="2" t="s">
        <v>538</v>
      </c>
      <c r="G158" s="2" t="s">
        <v>228</v>
      </c>
      <c r="H158" s="2" t="s">
        <v>136</v>
      </c>
    </row>
    <row r="159">
      <c r="A159" s="2" t="s">
        <v>714</v>
      </c>
      <c r="B159" s="2" t="s">
        <v>715</v>
      </c>
      <c r="C159" s="2" t="s">
        <v>44</v>
      </c>
      <c r="D159" s="2" t="s">
        <v>46</v>
      </c>
      <c r="E159" s="2" t="s">
        <v>397</v>
      </c>
      <c r="F159" s="2" t="s">
        <v>576</v>
      </c>
      <c r="G159" s="2" t="s">
        <v>262</v>
      </c>
      <c r="H159" s="2" t="s">
        <v>106</v>
      </c>
    </row>
    <row r="160">
      <c r="A160" s="2" t="s">
        <v>716</v>
      </c>
      <c r="B160" s="2" t="s">
        <v>717</v>
      </c>
      <c r="C160" s="2" t="s">
        <v>44</v>
      </c>
      <c r="D160" s="2" t="s">
        <v>46</v>
      </c>
      <c r="E160" s="2" t="s">
        <v>397</v>
      </c>
      <c r="F160" s="2" t="s">
        <v>576</v>
      </c>
      <c r="G160" s="2" t="s">
        <v>264</v>
      </c>
      <c r="H160" s="2" t="s">
        <v>100</v>
      </c>
    </row>
    <row r="161">
      <c r="A161" s="2" t="s">
        <v>718</v>
      </c>
      <c r="B161" s="2" t="s">
        <v>719</v>
      </c>
      <c r="C161" s="2" t="s">
        <v>44</v>
      </c>
      <c r="D161" s="2" t="s">
        <v>46</v>
      </c>
      <c r="E161" s="2" t="s">
        <v>397</v>
      </c>
      <c r="F161" s="2" t="s">
        <v>576</v>
      </c>
      <c r="G161" s="2" t="s">
        <v>266</v>
      </c>
      <c r="H161" s="2" t="s">
        <v>81</v>
      </c>
    </row>
    <row r="162">
      <c r="A162" s="2" t="s">
        <v>720</v>
      </c>
      <c r="B162" s="2" t="s">
        <v>721</v>
      </c>
      <c r="C162" s="2" t="s">
        <v>44</v>
      </c>
      <c r="D162" s="2" t="s">
        <v>46</v>
      </c>
      <c r="E162" s="2" t="s">
        <v>397</v>
      </c>
      <c r="F162" s="2" t="s">
        <v>576</v>
      </c>
      <c r="G162" s="2" t="s">
        <v>268</v>
      </c>
      <c r="H162" s="2" t="s">
        <v>136</v>
      </c>
    </row>
    <row r="163">
      <c r="A163" s="2" t="s">
        <v>722</v>
      </c>
      <c r="B163" s="2" t="s">
        <v>723</v>
      </c>
      <c r="C163" s="2" t="s">
        <v>27</v>
      </c>
      <c r="D163" s="2" t="s">
        <v>29</v>
      </c>
      <c r="E163" s="2" t="s">
        <v>437</v>
      </c>
      <c r="F163" s="2" t="s">
        <v>471</v>
      </c>
      <c r="G163" s="2" t="s">
        <v>344</v>
      </c>
    </row>
    <row r="164">
      <c r="A164" s="2" t="s">
        <v>724</v>
      </c>
      <c r="B164" s="2" t="s">
        <v>725</v>
      </c>
      <c r="C164" s="2" t="s">
        <v>44</v>
      </c>
      <c r="D164" s="2" t="s">
        <v>46</v>
      </c>
      <c r="E164" s="2" t="s">
        <v>437</v>
      </c>
      <c r="F164" s="2" t="s">
        <v>471</v>
      </c>
      <c r="G164" s="2" t="s">
        <v>334</v>
      </c>
    </row>
    <row r="165">
      <c r="A165" s="2" t="s">
        <v>726</v>
      </c>
      <c r="B165" s="2" t="s">
        <v>727</v>
      </c>
      <c r="C165" s="2" t="s">
        <v>44</v>
      </c>
      <c r="D165" s="2" t="s">
        <v>46</v>
      </c>
      <c r="E165" s="2" t="s">
        <v>437</v>
      </c>
      <c r="F165" s="2" t="s">
        <v>471</v>
      </c>
      <c r="G165" s="2" t="s">
        <v>302</v>
      </c>
    </row>
    <row r="166">
      <c r="A166" s="2" t="s">
        <v>728</v>
      </c>
      <c r="B166" s="2" t="s">
        <v>729</v>
      </c>
      <c r="C166" s="2" t="s">
        <v>44</v>
      </c>
      <c r="D166" s="2" t="s">
        <v>46</v>
      </c>
      <c r="E166" s="2" t="s">
        <v>437</v>
      </c>
      <c r="F166" s="2" t="s">
        <v>471</v>
      </c>
      <c r="G166" s="2" t="s">
        <v>302</v>
      </c>
    </row>
    <row r="167">
      <c r="A167" s="2" t="s">
        <v>730</v>
      </c>
      <c r="B167" s="2" t="s">
        <v>731</v>
      </c>
      <c r="C167" s="2" t="s">
        <v>44</v>
      </c>
      <c r="D167" s="2" t="s">
        <v>46</v>
      </c>
      <c r="E167" s="2" t="s">
        <v>437</v>
      </c>
      <c r="F167" s="2" t="s">
        <v>471</v>
      </c>
      <c r="G167" s="2" t="s">
        <v>365</v>
      </c>
    </row>
    <row r="168">
      <c r="A168" s="2" t="s">
        <v>732</v>
      </c>
      <c r="B168" s="2" t="s">
        <v>733</v>
      </c>
      <c r="C168" s="2" t="s">
        <v>44</v>
      </c>
      <c r="D168" s="2" t="s">
        <v>46</v>
      </c>
      <c r="E168" s="2" t="s">
        <v>437</v>
      </c>
      <c r="F168" s="2" t="s">
        <v>471</v>
      </c>
      <c r="G168" s="2" t="s">
        <v>296</v>
      </c>
    </row>
    <row r="169">
      <c r="A169" s="2" t="s">
        <v>734</v>
      </c>
      <c r="B169" s="2" t="s">
        <v>735</v>
      </c>
      <c r="C169" s="2" t="s">
        <v>44</v>
      </c>
      <c r="D169" s="2" t="s">
        <v>46</v>
      </c>
      <c r="E169" s="2" t="s">
        <v>437</v>
      </c>
      <c r="F169" s="2" t="s">
        <v>471</v>
      </c>
      <c r="G169" s="2" t="s">
        <v>296</v>
      </c>
    </row>
    <row r="170">
      <c r="A170" s="2" t="s">
        <v>736</v>
      </c>
      <c r="B170" s="2" t="s">
        <v>737</v>
      </c>
      <c r="C170" s="2" t="s">
        <v>44</v>
      </c>
      <c r="D170" s="2" t="s">
        <v>46</v>
      </c>
      <c r="E170" s="2" t="s">
        <v>437</v>
      </c>
      <c r="F170" s="2" t="s">
        <v>471</v>
      </c>
      <c r="G170" s="2" t="s">
        <v>300</v>
      </c>
    </row>
    <row r="171">
      <c r="A171" s="2" t="s">
        <v>738</v>
      </c>
      <c r="B171" s="2" t="s">
        <v>739</v>
      </c>
      <c r="C171" s="2" t="s">
        <v>44</v>
      </c>
      <c r="D171" s="2" t="s">
        <v>46</v>
      </c>
      <c r="E171" s="2" t="s">
        <v>437</v>
      </c>
      <c r="F171" s="2" t="s">
        <v>471</v>
      </c>
      <c r="G171" s="2" t="s">
        <v>301</v>
      </c>
    </row>
    <row r="172">
      <c r="A172" s="2" t="s">
        <v>740</v>
      </c>
      <c r="B172" s="2" t="s">
        <v>741</v>
      </c>
      <c r="C172" s="2" t="s">
        <v>44</v>
      </c>
      <c r="D172" s="2" t="s">
        <v>46</v>
      </c>
      <c r="E172" s="2" t="s">
        <v>437</v>
      </c>
      <c r="F172" s="2" t="s">
        <v>471</v>
      </c>
      <c r="G172" s="2" t="s">
        <v>302</v>
      </c>
    </row>
    <row r="173">
      <c r="A173" s="2" t="s">
        <v>742</v>
      </c>
      <c r="B173" s="2" t="s">
        <v>743</v>
      </c>
      <c r="C173" s="2" t="s">
        <v>44</v>
      </c>
      <c r="D173" s="2" t="s">
        <v>46</v>
      </c>
      <c r="E173" s="2" t="s">
        <v>437</v>
      </c>
      <c r="F173" s="2" t="s">
        <v>471</v>
      </c>
      <c r="G173" s="2" t="s">
        <v>303</v>
      </c>
    </row>
    <row r="174">
      <c r="A174" s="2" t="s">
        <v>744</v>
      </c>
      <c r="B174" s="2" t="s">
        <v>745</v>
      </c>
      <c r="C174" s="2" t="s">
        <v>44</v>
      </c>
      <c r="D174" s="2" t="s">
        <v>46</v>
      </c>
      <c r="E174" s="2" t="s">
        <v>437</v>
      </c>
      <c r="F174" s="2" t="s">
        <v>471</v>
      </c>
      <c r="G174" s="2" t="s">
        <v>309</v>
      </c>
    </row>
    <row r="175">
      <c r="A175" s="2" t="s">
        <v>746</v>
      </c>
      <c r="B175" s="2" t="s">
        <v>747</v>
      </c>
      <c r="C175" s="2" t="s">
        <v>44</v>
      </c>
      <c r="D175" s="2" t="s">
        <v>46</v>
      </c>
      <c r="E175" s="2" t="s">
        <v>437</v>
      </c>
      <c r="F175" s="2" t="s">
        <v>471</v>
      </c>
      <c r="G175" s="2" t="s">
        <v>314</v>
      </c>
    </row>
    <row r="176">
      <c r="A176" s="2" t="s">
        <v>748</v>
      </c>
      <c r="B176" s="2" t="s">
        <v>749</v>
      </c>
      <c r="C176" s="2" t="s">
        <v>44</v>
      </c>
      <c r="D176" s="2" t="s">
        <v>46</v>
      </c>
      <c r="E176" s="2" t="s">
        <v>437</v>
      </c>
      <c r="F176" s="2" t="s">
        <v>471</v>
      </c>
      <c r="G176" s="2" t="s">
        <v>320</v>
      </c>
    </row>
    <row r="177">
      <c r="A177" s="2" t="s">
        <v>750</v>
      </c>
      <c r="B177" s="2" t="s">
        <v>751</v>
      </c>
      <c r="C177" s="2" t="s">
        <v>44</v>
      </c>
      <c r="D177" s="2" t="s">
        <v>46</v>
      </c>
      <c r="E177" s="2" t="s">
        <v>437</v>
      </c>
      <c r="F177" s="2" t="s">
        <v>471</v>
      </c>
      <c r="G177" s="2" t="s">
        <v>321</v>
      </c>
    </row>
    <row r="178">
      <c r="A178" s="2" t="s">
        <v>752</v>
      </c>
      <c r="B178" s="2" t="s">
        <v>753</v>
      </c>
      <c r="C178" s="2" t="s">
        <v>44</v>
      </c>
      <c r="D178" s="2" t="s">
        <v>46</v>
      </c>
      <c r="E178" s="2" t="s">
        <v>437</v>
      </c>
      <c r="F178" s="2" t="s">
        <v>471</v>
      </c>
      <c r="G178" s="2" t="s">
        <v>325</v>
      </c>
    </row>
    <row r="179">
      <c r="A179" s="2" t="s">
        <v>754</v>
      </c>
      <c r="B179" s="2" t="s">
        <v>755</v>
      </c>
      <c r="C179" s="2" t="s">
        <v>44</v>
      </c>
      <c r="D179" s="2" t="s">
        <v>46</v>
      </c>
      <c r="E179" s="2" t="s">
        <v>437</v>
      </c>
      <c r="F179" s="2" t="s">
        <v>471</v>
      </c>
      <c r="G179" s="2" t="s">
        <v>334</v>
      </c>
    </row>
    <row r="180">
      <c r="A180" s="2" t="s">
        <v>756</v>
      </c>
      <c r="B180" s="2" t="s">
        <v>757</v>
      </c>
      <c r="C180" s="2" t="s">
        <v>44</v>
      </c>
      <c r="D180" s="2" t="s">
        <v>46</v>
      </c>
      <c r="E180" s="2" t="s">
        <v>437</v>
      </c>
      <c r="F180" s="2" t="s">
        <v>471</v>
      </c>
      <c r="G180" s="2" t="s">
        <v>343</v>
      </c>
    </row>
    <row r="181">
      <c r="A181" s="2" t="s">
        <v>758</v>
      </c>
      <c r="B181" s="2" t="s">
        <v>759</v>
      </c>
      <c r="C181" s="2" t="s">
        <v>44</v>
      </c>
      <c r="D181" s="2" t="s">
        <v>46</v>
      </c>
      <c r="E181" s="2" t="s">
        <v>437</v>
      </c>
      <c r="F181" s="2" t="s">
        <v>471</v>
      </c>
      <c r="G181" s="2" t="s">
        <v>344</v>
      </c>
    </row>
    <row r="182">
      <c r="A182" s="2" t="s">
        <v>760</v>
      </c>
      <c r="B182" s="2" t="s">
        <v>761</v>
      </c>
      <c r="C182" s="2" t="s">
        <v>44</v>
      </c>
      <c r="D182" s="2" t="s">
        <v>46</v>
      </c>
      <c r="E182" s="2" t="s">
        <v>397</v>
      </c>
      <c r="F182" s="2" t="s">
        <v>538</v>
      </c>
      <c r="G182" s="2" t="s">
        <v>231</v>
      </c>
      <c r="H182" s="2" t="s">
        <v>28</v>
      </c>
    </row>
    <row r="183">
      <c r="A183" s="2" t="s">
        <v>762</v>
      </c>
      <c r="B183" s="2" t="s">
        <v>763</v>
      </c>
      <c r="C183" s="2" t="s">
        <v>44</v>
      </c>
      <c r="D183" s="2" t="s">
        <v>46</v>
      </c>
      <c r="E183" s="2" t="s">
        <v>397</v>
      </c>
      <c r="F183" s="2" t="s">
        <v>576</v>
      </c>
      <c r="G183" s="2" t="s">
        <v>270</v>
      </c>
      <c r="H183" s="2" t="s">
        <v>28</v>
      </c>
    </row>
    <row r="184">
      <c r="A184" s="2" t="s">
        <v>764</v>
      </c>
      <c r="B184" s="2" t="s">
        <v>765</v>
      </c>
      <c r="C184" s="2" t="s">
        <v>44</v>
      </c>
      <c r="D184" s="2" t="s">
        <v>46</v>
      </c>
      <c r="E184" s="2" t="s">
        <v>437</v>
      </c>
      <c r="F184" s="2" t="s">
        <v>471</v>
      </c>
      <c r="G184" s="2" t="s">
        <v>356</v>
      </c>
    </row>
  </sheetData>
  <drawing r:id="rId1"/>
</worksheet>
</file>